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erve Forest Cover 2021" sheetId="1" state="visible" r:id="rId3"/>
    <sheet name="Tiger Corridors" sheetId="2" state="visible" r:id="rId4"/>
    <sheet name="Quick Reference" sheetId="3" state="visible" r:id="rId5"/>
    <sheet name="ArcGIS_Im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<sst xmlns="http://schemas.openxmlformats.org/spreadsheetml/2006/main" count="212" uniqueCount="166">
  <si>
    <t xml:space="preserve">Forest Cover in Tiger Reserves — ISFR 2021 (Table 4.5) vs ISFR 2011</t>
  </si>
  <si>
    <t xml:space="preserve">Source: ISFR 2021 Chapter 4, Table 4.5. Measured from digitized Tiger Reserve boundaries (WII, Dehradun). 2011 data period 2008–2009. 2021 data period 2019–2020.</t>
  </si>
  <si>
    <t xml:space="preserve">Reserve</t>
  </si>
  <si>
    <t xml:space="preserve">State</t>
  </si>
  <si>
    <t xml:space="preserve">TR Area
(sq km)</t>
  </si>
  <si>
    <t xml:space="preserve">2011 Assessment</t>
  </si>
  <si>
    <t xml:space="preserve">2021 Assessment</t>
  </si>
  <si>
    <t xml:space="preserve">Change 2011→2021</t>
  </si>
  <si>
    <t xml:space="preserve">VDF</t>
  </si>
  <si>
    <t xml:space="preserve">MDF</t>
  </si>
  <si>
    <t xml:space="preserve">OF</t>
  </si>
  <si>
    <t xml:space="preserve">Total</t>
  </si>
  <si>
    <t xml:space="preserve">% of TR
(2021)</t>
  </si>
  <si>
    <t xml:space="preserve">Δ sq km</t>
  </si>
  <si>
    <t xml:space="preserve">Trend</t>
  </si>
  <si>
    <t xml:space="preserve">Bandipur</t>
  </si>
  <si>
    <t xml:space="preserve">Karnataka</t>
  </si>
  <si>
    <t xml:space="preserve">▼ LOSS</t>
  </si>
  <si>
    <t xml:space="preserve">Nagarahole</t>
  </si>
  <si>
    <t xml:space="preserve">Kanha</t>
  </si>
  <si>
    <t xml:space="preserve">Madhya Pradesh</t>
  </si>
  <si>
    <t xml:space="preserve">Pench</t>
  </si>
  <si>
    <t xml:space="preserve">Madhya Pradesh/ Maharashtra</t>
  </si>
  <si>
    <t xml:space="preserve">Ranthambore</t>
  </si>
  <si>
    <t xml:space="preserve">Rajasthan</t>
  </si>
  <si>
    <t xml:space="preserve">▲ GAIN</t>
  </si>
  <si>
    <t xml:space="preserve">Kaziranga</t>
  </si>
  <si>
    <t xml:space="preserve">Assam</t>
  </si>
  <si>
    <t xml:space="preserve">Jim Corbett</t>
  </si>
  <si>
    <t xml:space="preserve">Uttarakhand</t>
  </si>
  <si>
    <t xml:space="preserve">⚠ CHECK</t>
  </si>
  <si>
    <t xml:space="preserve">TOTAL / AVERAGE (7 reserves)</t>
  </si>
  <si>
    <t xml:space="preserve">NOTES &amp; INTERPRETATION</t>
  </si>
  <si>
    <t xml:space="preserve">⚠ Jim Corbett (−595 sq km)</t>
  </si>
  <si>
    <t xml:space="preserve">Large apparent loss likely due to TR BOUNDARY REVISION between assessment periods, NOT actual deforestation. Cross-check with NTCA boundary shapefile before using in Story Map.</t>
  </si>
  <si>
    <t xml:space="preserve">▲ Ranthambore (+177 sq km)</t>
  </si>
  <si>
    <t xml:space="preserve">Significant forest GAIN in a semi-arid landscape. MDF increased ~70 sq km. Strongest conservation success story in your dataset — tiger population grew AND forest improved.</t>
  </si>
  <si>
    <t xml:space="preserve">▲ Kaziranga (+274 sq km)</t>
  </si>
  <si>
    <t xml:space="preserve">Large gain driven by MDF increase (430→630 sq km). Partly reflects improved satellite detection of tall grass/reed beds classified as MDF. Ecologically significant.</t>
  </si>
  <si>
    <t xml:space="preserve">→ Nagarahole (−0.70 sq km)</t>
  </si>
  <si>
    <t xml:space="preserve">Essentially stable over a decade. VDF nearly unchanged (229→224). Best-maintained forest quality among the Karnataka reserves.</t>
  </si>
  <si>
    <t xml:space="preserve">Data note</t>
  </si>
  <si>
    <t xml:space="preserve">All values from digitized TR boundary polygons (WII, Dehradun). Supersedes district-level ISFR 2017 proxy data. Use ISFR 2021 values as primary source for Story Map.</t>
  </si>
  <si>
    <t xml:space="preserve">Forest Cover in Tiger Corridors — Relevant to 7 Project Reserves (ISFR 2021, Tables 4.9 &amp; 4.10)</t>
  </si>
  <si>
    <t xml:space="preserve">Corridor area excludes overlap with TR boundaries. Total India corridor forest = 11,575.12 sq km (81.01%). Only corridors connecting to/from project reserves shown.</t>
  </si>
  <si>
    <t xml:space="preserve">Corridor Name</t>
  </si>
  <si>
    <t xml:space="preserve">States</t>
  </si>
  <si>
    <t xml:space="preserve">Connects</t>
  </si>
  <si>
    <t xml:space="preserve">Corridor
Area (sq km)</t>
  </si>
  <si>
    <t xml:space="preserve">VDF
(sq km)</t>
  </si>
  <si>
    <t xml:space="preserve">MDF
(sq km)</t>
  </si>
  <si>
    <t xml:space="preserve">OF
(sq km)</t>
  </si>
  <si>
    <t xml:space="preserve">Total Forest
(sq km)</t>
  </si>
  <si>
    <t xml:space="preserve">% Forest</t>
  </si>
  <si>
    <t xml:space="preserve">Conservation Note</t>
  </si>
  <si>
    <t xml:space="preserve">Story Map Use</t>
  </si>
  <si>
    <t xml:space="preserve">Source (ISFR 2021)</t>
  </si>
  <si>
    <t xml:space="preserve">NAGARAHOLE &amp; BANDIPUR CORRIDORS — Karnataka / Western Ghats Landscape</t>
  </si>
  <si>
    <t xml:space="preserve">Nagarahole–Bandipur–
Mudumalai–Wayanad</t>
  </si>
  <si>
    <t xml:space="preserve">Karnataka &amp; Tamil Nadu</t>
  </si>
  <si>
    <t xml:space="preserve">Nagarahole + Bandipur</t>
  </si>
  <si>
    <t xml:space="preserve">CRITICAL. 94.87% forest — India's best-maintained corridor system. Nilgiri Biosphere; largest tiger population globally.</t>
  </si>
  <si>
    <t xml:space="preserve">Core Story Map element: intact forest bridge between both Karnataka reserves</t>
  </si>
  <si>
    <t xml:space="preserve">Table 4.9 #23 / 4.10 #23</t>
  </si>
  <si>
    <t xml:space="preserve">Nagarahole–Mudumalai–Wayanad</t>
  </si>
  <si>
    <t xml:space="preserve">Kerala &amp; Tamil Nadu</t>
  </si>
  <si>
    <t xml:space="preserve">HIGH. 90.18% forest. Extends Nagarahole connectivity southward into Wayanad &amp; Mudumalai.</t>
  </si>
  <si>
    <t xml:space="preserve">Nagarahole as hub of larger Nilgiri landscape tiger network</t>
  </si>
  <si>
    <t xml:space="preserve">Table 4.9 #22 / 4.10 #22</t>
  </si>
  <si>
    <t xml:space="preserve">Nagarahole–Pushpagiri–Talakavery</t>
  </si>
  <si>
    <t xml:space="preserve">Karnataka &amp; Kerala</t>
  </si>
  <si>
    <t xml:space="preserve">VERY HIGH. 92.60% forest. Western Ghats corridor; critical for genetic exchange with Kerala populations.</t>
  </si>
  <si>
    <t xml:space="preserve">Nagarahole's role in Western Ghats tiger meta-population</t>
  </si>
  <si>
    <t xml:space="preserve">Table 4.9 #24 / 4.10 #24</t>
  </si>
  <si>
    <t xml:space="preserve">Anshi–Dandeli–Sharavathi Valley</t>
  </si>
  <si>
    <t xml:space="preserve">Nagarahole (northern)</t>
  </si>
  <si>
    <t xml:space="preserve">VERY HIGH. 93.67% forest. Northern Karnataka; connects Nagarahole landscape to central Western Ghats.</t>
  </si>
  <si>
    <t xml:space="preserve">Context for Nagarahole as anchor of continuous Karnataka forest block</t>
  </si>
  <si>
    <t xml:space="preserve">Table 4.9 #1 / 4.10 #1</t>
  </si>
  <si>
    <t xml:space="preserve">KANHA &amp; PENCH CORRIDORS — Madhya Pradesh / Central India Landscape</t>
  </si>
  <si>
    <t xml:space="preserve">Kanha–Pench</t>
  </si>
  <si>
    <t xml:space="preserve">Kanha + Pench</t>
  </si>
  <si>
    <t xml:space="preserve">VERY HIGH. 91.74% forest. Direct tiger dispersal route between two project reserves across Satpura landscape.</t>
  </si>
  <si>
    <t xml:space="preserve">KEY Story Map element: direct Kanha↔Pench connectivity — tigers move between these two reserves</t>
  </si>
  <si>
    <t xml:space="preserve">Table 4.9 #14 / 4.10 #14</t>
  </si>
  <si>
    <t xml:space="preserve">Pench–Satpura–Melghat</t>
  </si>
  <si>
    <t xml:space="preserve">MP &amp; Maharashtra</t>
  </si>
  <si>
    <t xml:space="preserve">Pench (MP + MH)</t>
  </si>
  <si>
    <t xml:space="preserve">HIGH. 83.21% forest. Largest corridor for project reserves by area. Links both Pench reserves into the Satpura–Melghat complex.</t>
  </si>
  <si>
    <t xml:space="preserve">Shows Pench embedded in a vast intact forest landscape; supports corridor conservation narrative</t>
  </si>
  <si>
    <t xml:space="preserve">Table 4.9 #27 / 4.10 #27</t>
  </si>
  <si>
    <t xml:space="preserve">Kanha to Navegoan–Nagzira–Tadoba–Indravati</t>
  </si>
  <si>
    <t xml:space="preserve">MP, Chhattisgarh &amp; Maharashtra</t>
  </si>
  <si>
    <t xml:space="preserve">HIGH. India's LARGEST tiger corridor (2,326 sq km), 86.50% forest. Connects Kanha eastward through central India's forest heartland.</t>
  </si>
  <si>
    <t xml:space="preserve">Kanha as anchor of central India's tiger landscape — most connected reserve in project</t>
  </si>
  <si>
    <t xml:space="preserve">Table 4.9 #12 / 4.10 #12</t>
  </si>
  <si>
    <t xml:space="preserve">RANTHAMBORE CORRIDOR — Rajasthan / Semi-Arid Landscape</t>
  </si>
  <si>
    <t xml:space="preserve">Ranthambore–Kuno–Shivpuri–Madhav</t>
  </si>
  <si>
    <t xml:space="preserve">Rajasthan &amp; MP</t>
  </si>
  <si>
    <t xml:space="preserve">MODERATE. 82.12% total but Open Forest dominates (72%). VDF = 0.51 sq km — no dense forest in corridor. Semi-arid scrub landscape.</t>
  </si>
  <si>
    <t xml:space="preserve">Ranthambore's isolation story: corridor is mostly open scrub — tiger persistence here is remarkable</t>
  </si>
  <si>
    <t xml:space="preserve">Table 4.9 #30 / 4.10 #30</t>
  </si>
  <si>
    <t xml:space="preserve">KAZIRANGA CORRIDORS — Assam / Northeast India (connectivity under threat)</t>
  </si>
  <si>
    <t xml:space="preserve">Kaziranga–Karbi–Anglong</t>
  </si>
  <si>
    <t xml:space="preserve">HIGH density but tiny (32 sq km). Critical stepping-stone for seasonal tiger &amp; elephant movement into Karbi Anglong hills.</t>
  </si>
  <si>
    <t xml:space="preserve">Kaziranga's only well-maintained corridor — highlights the fragility of its landscape connectivity</t>
  </si>
  <si>
    <t xml:space="preserve">Table 4.9 #16 / 4.10 #16</t>
  </si>
  <si>
    <t xml:space="preserve">Kaziranga–Nameri</t>
  </si>
  <si>
    <t xml:space="preserve">Arunachal Pradesh &amp; Assam</t>
  </si>
  <si>
    <t xml:space="preserve">LOW. Only 17.86% forest. Severely fragmented by agriculture and settlements between Kaziranga and Nameri TR.</t>
  </si>
  <si>
    <t xml:space="preserve">Conservation concern: eastern corridor is highly degraded — Story Map threat narrative</t>
  </si>
  <si>
    <t xml:space="preserve">Table 4.9 #17 / 4.10 #17</t>
  </si>
  <si>
    <t xml:space="preserve">Kaziranga–Itanagar WLS</t>
  </si>
  <si>
    <t xml:space="preserve">CRITICAL CONCERN. Only 11.54% forest. Most degraded corridor in dataset. Tea gardens and settlements have severed this route.</t>
  </si>
  <si>
    <t xml:space="preserve">Strongest threat example for Story Map: Kaziranga at risk of becoming a landscape island</t>
  </si>
  <si>
    <t xml:space="preserve">Table 4.9 #15 / 4.10 #15</t>
  </si>
  <si>
    <t xml:space="preserve">JIM CORBETT CORRIDORS — Uttarakhand / Terai Arc Landscape</t>
  </si>
  <si>
    <t xml:space="preserve">Corbett–Dudhwa</t>
  </si>
  <si>
    <t xml:space="preserve">Uttarakhand &amp; UP</t>
  </si>
  <si>
    <t xml:space="preserve">HIGH. 74.74% forest. Connects Corbett westward through Terai Arc Landscape toward Dudhwa. Important for tiger &amp; elephant movement.</t>
  </si>
  <si>
    <t xml:space="preserve">Corbett embedded in the Terai Arc — one of the world's most important tiger recovery landscapes</t>
  </si>
  <si>
    <t xml:space="preserve">Table 4.9 #5 / 4.10 #5</t>
  </si>
  <si>
    <t xml:space="preserve">Rajaji–Corbett</t>
  </si>
  <si>
    <t xml:space="preserve">HIGH. 73.53% forest. Links Corbett to Rajaji NP. Important for Himalayan foothills tiger connectivity.</t>
  </si>
  <si>
    <t xml:space="preserve">Demonstrates Corbett's role in the broader Uttarakhand tiger landscape network</t>
  </si>
  <si>
    <t xml:space="preserve">Table 4.9 #29 / 4.10 #29</t>
  </si>
  <si>
    <t xml:space="preserve">KEY FINDING: Nagarahole–Bandipur–Mudumalai–Wayanad corridor (94.87%) = India's best-maintained corridor. Kaziranga–Itanagar WLS (11.54%) = most fragmented. Ranthambore corridor has zero VDF — tiger persistence here despite near-total lack of dense forest is the project's most striking conservation story.</t>
  </si>
  <si>
    <t xml:space="preserve">Quick Reference — 7 Tiger Reserves Forest &amp; Corridor Summary</t>
  </si>
  <si>
    <t xml:space="preserve">Primary source: ISFR 2021 Table 4.5 (reserve-boundary level). Use these values for Story Map.</t>
  </si>
  <si>
    <t xml:space="preserve">TR Area (sq km)</t>
  </si>
  <si>
    <t xml:space="preserve">Forest 2021 (sq km)</t>
  </si>
  <si>
    <t xml:space="preserve">% of TR (2021)</t>
  </si>
  <si>
    <t xml:space="preserve">2011→2021 Δ (sq km)</t>
  </si>
  <si>
    <t xml:space="preserve">Best-Connected Corridor(s)</t>
  </si>
  <si>
    <t xml:space="preserve">▼ Minor loss</t>
  </si>
  <si>
    <t xml:space="preserve">Nagarahole–Bandipur–Mudumalai–Wayanad: 94.87% ✅</t>
  </si>
  <si>
    <t xml:space="preserve">→ Stable</t>
  </si>
  <si>
    <t xml:space="preserve">Nagarahole–Pushpagiri–Talakavery: 92.60% ✅; Nagarahole–Mudumalai: 90.18% ✅</t>
  </si>
  <si>
    <t xml:space="preserve">Kanha–Pench: 91.74% ✅; Kanha–Navegoan–Nagzira–Tadoba: 86.50% ✅ (India's largest)</t>
  </si>
  <si>
    <t xml:space="preserve">Pench (MP/MH)</t>
  </si>
  <si>
    <t xml:space="preserve">Maharashtra</t>
  </si>
  <si>
    <t xml:space="preserve">1906..94</t>
  </si>
  <si>
    <t xml:space="preserve">Pench–Satpura–Melghat: 83.21% ✅</t>
  </si>
  <si>
    <t xml:space="preserve">▲ GAIN +14.98%</t>
  </si>
  <si>
    <t xml:space="preserve">Ranthambore–Kuno–Shivpuri–Madhav: 82.12% (OF dominant, VDF ≈ 0) ⚠</t>
  </si>
  <si>
    <t xml:space="preserve">▲ GAIN +30.31%</t>
  </si>
  <si>
    <t xml:space="preserve">Kaziranga–Karbi: 81.89% ✅ | Eastern corridors: 11–18% ❌ CRITICAL CONCERN</t>
  </si>
  <si>
    <t xml:space="preserve">⚠ Verify boundary</t>
  </si>
  <si>
    <t xml:space="preserve">Corbett–Dudhwa: 74.74% ✅; Rajaji–Corbett: 73.53% ✅</t>
  </si>
  <si>
    <t xml:space="preserve">Reserve_Name_Std </t>
  </si>
  <si>
    <t xml:space="preserve">State </t>
  </si>
  <si>
    <t xml:space="preserve">TR_Area_sqkm </t>
  </si>
  <si>
    <t xml:space="preserve">VDF_2021 </t>
  </si>
  <si>
    <t xml:space="preserve">MDF_2021 </t>
  </si>
  <si>
    <t xml:space="preserve">OF_2021 </t>
  </si>
  <si>
    <t xml:space="preserve">Total_Forest_2021 </t>
  </si>
  <si>
    <t xml:space="preserve">Pct_of_TR_2021 </t>
  </si>
  <si>
    <t xml:space="preserve">Forest_Change_sqkm </t>
  </si>
  <si>
    <t xml:space="preserve">Bandipur National Park</t>
  </si>
  <si>
    <t xml:space="preserve">Nagarahole National Park</t>
  </si>
  <si>
    <t xml:space="preserve">Kanha National Park</t>
  </si>
  <si>
    <t xml:space="preserve">Pench Tiger Reserve (Combined)</t>
  </si>
  <si>
    <t xml:space="preserve">MP / Maharashtra</t>
  </si>
  <si>
    <t xml:space="preserve">Ranthambore Tiger Reserve</t>
  </si>
  <si>
    <t xml:space="preserve">Kaziranga National Park</t>
  </si>
  <si>
    <t xml:space="preserve">Jim Corbett National Park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</si>
</sst>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\+#,##0.00;\-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C28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sz val="9"/>
      <color rgb="FF1C2833"/>
      <name val="Arial"/>
      <family val="0"/>
      <charset val="1"/>
    </font>
    <font>
      <sz val="10"/>
      <color rgb="FF1C28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9"/>
      <color rgb="FF1C2833"/>
      <name val="Arial"/>
      <family val="0"/>
      <charset val="1"/>
    </font>
    <font>
      <sz val="8"/>
      <color rgb="FF1C2833"/>
      <name val="Arial"/>
      <family val="0"/>
      <charset val="1"/>
    </font>
    <font>
      <i val="true"/>
      <sz val="8"/>
      <color rgb="FF1C2833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5276"/>
        <bgColor rgb="FF154360"/>
      </patternFill>
    </fill>
    <fill>
      <patternFill patternType="solid">
        <fgColor rgb="FFFEF9E7"/>
        <bgColor rgb="FFFDFEFE"/>
      </patternFill>
    </fill>
    <fill>
      <patternFill patternType="solid">
        <fgColor rgb="FF2E86C1"/>
        <bgColor rgb="FF008080"/>
      </patternFill>
    </fill>
    <fill>
      <patternFill patternType="solid">
        <fgColor rgb="FF7D6608"/>
        <bgColor rgb="FF808080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4EFDF"/>
      </patternFill>
    </fill>
    <fill>
      <patternFill patternType="solid">
        <fgColor rgb="FFAED6F1"/>
        <bgColor rgb="FFA9DFBF"/>
      </patternFill>
    </fill>
    <fill>
      <patternFill patternType="solid">
        <fgColor rgb="FF1E8449"/>
        <bgColor rgb="FF008080"/>
      </patternFill>
    </fill>
    <fill>
      <patternFill patternType="solid">
        <fgColor rgb="FF52BE80"/>
        <bgColor rgb="FF969696"/>
      </patternFill>
    </fill>
    <fill>
      <patternFill patternType="solid">
        <fgColor rgb="FFA9DFBF"/>
        <bgColor rgb="FFAED6F1"/>
      </patternFill>
    </fill>
    <fill>
      <patternFill patternType="solid">
        <fgColor rgb="FFD4EFDF"/>
        <bgColor rgb="FFD5F5E3"/>
      </patternFill>
    </fill>
    <fill>
      <patternFill patternType="solid">
        <fgColor rgb="FFFADBD8"/>
        <bgColor rgb="FFFDE8E8"/>
      </patternFill>
    </fill>
    <fill>
      <patternFill patternType="solid">
        <fgColor rgb="FFD5F5E3"/>
        <bgColor rgb="FFD4EFDF"/>
      </patternFill>
    </fill>
    <fill>
      <patternFill patternType="solid">
        <fgColor rgb="FFFDE8E8"/>
        <bgColor rgb="FFF2F3F4"/>
      </patternFill>
    </fill>
    <fill>
      <patternFill patternType="solid">
        <fgColor rgb="FF145A32"/>
        <bgColor rgb="FF154360"/>
      </patternFill>
    </fill>
    <fill>
      <patternFill patternType="solid">
        <fgColor rgb="FFFDFEFE"/>
        <bgColor rgb="FFFFFFFF"/>
      </patternFill>
    </fill>
    <fill>
      <patternFill patternType="solid">
        <fgColor rgb="FF154360"/>
        <bgColor rgb="FF1A5276"/>
      </patternFill>
    </fill>
    <fill>
      <patternFill patternType="solid">
        <fgColor rgb="FF4A235A"/>
        <bgColor rgb="FF1C28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1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EF9E7"/>
      <rgbColor rgb="FFD4EFDF"/>
      <rgbColor rgb="FF660066"/>
      <rgbColor rgb="FFFF8080"/>
      <rgbColor rgb="FF1A5276"/>
      <rgbColor rgb="FFA9D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8E8"/>
      <rgbColor rgb="FFAED6F1"/>
      <rgbColor rgb="FFF2F3F4"/>
      <rgbColor rgb="FFFDFEFE"/>
      <rgbColor rgb="FFFADBD8"/>
      <rgbColor rgb="FF2E86C1"/>
      <rgbColor rgb="FF52BE80"/>
      <rgbColor rgb="FF99CC00"/>
      <rgbColor rgb="FFFFCC00"/>
      <rgbColor rgb="FFFF9900"/>
      <rgbColor rgb="FFE67E22"/>
      <rgbColor rgb="FF666699"/>
      <rgbColor rgb="FF969696"/>
      <rgbColor rgb="FF154360"/>
      <rgbColor rgb="FF1E8449"/>
      <rgbColor rgb="FF003300"/>
      <rgbColor rgb="FF333300"/>
      <rgbColor rgb="FFC0392B"/>
      <rgbColor rgb="FF993366"/>
      <rgbColor rgb="FF4A235A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1" activeCellId="0" sqref="H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10" min="8" style="1" width="10"/>
    <col collapsed="false" customWidth="true" hidden="false" outlineLevel="0" max="14" min="11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9.5" hidden="false" customHeight="true" outlineLevel="0" collapsed="false">
      <c r="A3" s="4" t="s">
        <v>2</v>
      </c>
      <c r="B3" s="4" t="s">
        <v>3</v>
      </c>
      <c r="C3" s="4" t="s">
        <v>4</v>
      </c>
      <c r="D3" s="5" t="s">
        <v>5</v>
      </c>
      <c r="E3" s="5"/>
      <c r="F3" s="5"/>
      <c r="G3" s="5"/>
      <c r="H3" s="4" t="s">
        <v>6</v>
      </c>
      <c r="I3" s="4"/>
      <c r="J3" s="4"/>
      <c r="K3" s="4"/>
      <c r="L3" s="6" t="s">
        <v>7</v>
      </c>
      <c r="M3" s="6"/>
      <c r="N3" s="6"/>
    </row>
    <row r="4" customFormat="false" ht="31.5" hidden="false" customHeight="true" outlineLevel="0" collapsed="false">
      <c r="A4" s="7"/>
      <c r="B4" s="7"/>
      <c r="C4" s="7"/>
      <c r="D4" s="5" t="s">
        <v>8</v>
      </c>
      <c r="E4" s="5" t="s">
        <v>9</v>
      </c>
      <c r="F4" s="5" t="s">
        <v>10</v>
      </c>
      <c r="G4" s="5" t="s">
        <v>11</v>
      </c>
      <c r="H4" s="4" t="s">
        <v>8</v>
      </c>
      <c r="I4" s="4" t="s">
        <v>9</v>
      </c>
      <c r="J4" s="4" t="s">
        <v>10</v>
      </c>
      <c r="K4" s="4" t="s">
        <v>11</v>
      </c>
      <c r="L4" s="6" t="s">
        <v>12</v>
      </c>
      <c r="M4" s="6" t="s">
        <v>13</v>
      </c>
      <c r="N4" s="6" t="s">
        <v>14</v>
      </c>
    </row>
    <row r="5" customFormat="false" ht="24" hidden="false" customHeight="true" outlineLevel="0" collapsed="false">
      <c r="A5" s="8" t="s">
        <v>15</v>
      </c>
      <c r="B5" s="9" t="s">
        <v>16</v>
      </c>
      <c r="C5" s="10" t="n">
        <v>1784.47</v>
      </c>
      <c r="D5" s="11" t="n">
        <v>160.26</v>
      </c>
      <c r="E5" s="11" t="n">
        <v>973.28</v>
      </c>
      <c r="F5" s="11" t="n">
        <v>407.44</v>
      </c>
      <c r="G5" s="12" t="n">
        <v>1540.98</v>
      </c>
      <c r="H5" s="13" t="n">
        <v>126.72</v>
      </c>
      <c r="I5" s="14" t="n">
        <v>1002.77</v>
      </c>
      <c r="J5" s="15" t="n">
        <v>368.14</v>
      </c>
      <c r="K5" s="16" t="n">
        <v>1497.63</v>
      </c>
      <c r="L5" s="17" t="n">
        <v>0.8393</v>
      </c>
      <c r="M5" s="18" t="n">
        <v>-43.35</v>
      </c>
      <c r="N5" s="19" t="s">
        <v>17</v>
      </c>
    </row>
    <row r="6" customFormat="false" ht="24" hidden="false" customHeight="true" outlineLevel="0" collapsed="false">
      <c r="A6" s="8" t="s">
        <v>18</v>
      </c>
      <c r="B6" s="9" t="s">
        <v>16</v>
      </c>
      <c r="C6" s="10" t="n">
        <v>1152.74</v>
      </c>
      <c r="D6" s="11" t="n">
        <v>229.06</v>
      </c>
      <c r="E6" s="11" t="n">
        <v>557.35</v>
      </c>
      <c r="F6" s="11" t="n">
        <v>185</v>
      </c>
      <c r="G6" s="12" t="n">
        <v>971.41</v>
      </c>
      <c r="H6" s="13" t="n">
        <v>223.88</v>
      </c>
      <c r="I6" s="14" t="n">
        <v>587.53</v>
      </c>
      <c r="J6" s="15" t="n">
        <v>159.3</v>
      </c>
      <c r="K6" s="16" t="n">
        <v>970.71</v>
      </c>
      <c r="L6" s="17" t="n">
        <v>0.8421</v>
      </c>
      <c r="M6" s="18" t="n">
        <v>-0.7</v>
      </c>
      <c r="N6" s="19" t="s">
        <v>17</v>
      </c>
    </row>
    <row r="7" customFormat="false" ht="24" hidden="false" customHeight="true" outlineLevel="0" collapsed="false">
      <c r="A7" s="8" t="s">
        <v>19</v>
      </c>
      <c r="B7" s="9" t="s">
        <v>20</v>
      </c>
      <c r="C7" s="10" t="n">
        <v>2071.51</v>
      </c>
      <c r="D7" s="11" t="n">
        <v>387.34</v>
      </c>
      <c r="E7" s="11" t="n">
        <v>1030.22</v>
      </c>
      <c r="F7" s="11" t="n">
        <v>476.2</v>
      </c>
      <c r="G7" s="12" t="n">
        <v>1893.76</v>
      </c>
      <c r="H7" s="13" t="n">
        <v>419.09</v>
      </c>
      <c r="I7" s="14" t="n">
        <v>1036.32</v>
      </c>
      <c r="J7" s="15" t="n">
        <v>430.96</v>
      </c>
      <c r="K7" s="16" t="n">
        <v>1886.37</v>
      </c>
      <c r="L7" s="17" t="n">
        <v>0.9105</v>
      </c>
      <c r="M7" s="18" t="n">
        <v>-7.39</v>
      </c>
      <c r="N7" s="19" t="s">
        <v>17</v>
      </c>
    </row>
    <row r="8" customFormat="false" ht="24" hidden="false" customHeight="true" outlineLevel="0" collapsed="false">
      <c r="A8" s="8" t="s">
        <v>21</v>
      </c>
      <c r="B8" s="9" t="s">
        <v>22</v>
      </c>
      <c r="C8" s="10" t="n">
        <v>1906.94</v>
      </c>
      <c r="D8" s="11" t="n">
        <v>119.63</v>
      </c>
      <c r="E8" s="11" t="n">
        <v>1000.84</v>
      </c>
      <c r="F8" s="11" t="n">
        <v>586.54</v>
      </c>
      <c r="G8" s="12" t="n">
        <v>1587.38</v>
      </c>
      <c r="H8" s="13" t="n">
        <v>134.67</v>
      </c>
      <c r="I8" s="14" t="n">
        <v>1030.31</v>
      </c>
      <c r="J8" s="15" t="n">
        <v>530.68</v>
      </c>
      <c r="K8" s="16" t="n">
        <v>1695.66</v>
      </c>
      <c r="L8" s="17" t="n">
        <v>0.8893</v>
      </c>
      <c r="M8" s="18" t="n">
        <v>-11.35</v>
      </c>
      <c r="N8" s="19" t="s">
        <v>17</v>
      </c>
    </row>
    <row r="9" customFormat="false" ht="24" hidden="false" customHeight="true" outlineLevel="0" collapsed="false">
      <c r="A9" s="20" t="s">
        <v>23</v>
      </c>
      <c r="B9" s="21" t="s">
        <v>24</v>
      </c>
      <c r="C9" s="22" t="n">
        <v>1765.57</v>
      </c>
      <c r="D9" s="11" t="n">
        <v>115.75</v>
      </c>
      <c r="E9" s="11" t="n">
        <v>588.28</v>
      </c>
      <c r="F9" s="11" t="n">
        <v>479.07</v>
      </c>
      <c r="G9" s="12" t="n">
        <v>1183.1</v>
      </c>
      <c r="H9" s="13" t="n">
        <v>161.23</v>
      </c>
      <c r="I9" s="14" t="n">
        <v>658.09</v>
      </c>
      <c r="J9" s="15" t="n">
        <v>540.98</v>
      </c>
      <c r="K9" s="16" t="n">
        <v>1360.3</v>
      </c>
      <c r="L9" s="23" t="n">
        <v>0.7705</v>
      </c>
      <c r="M9" s="24" t="n">
        <v>177.2</v>
      </c>
      <c r="N9" s="25" t="s">
        <v>25</v>
      </c>
    </row>
    <row r="10" customFormat="false" ht="24" hidden="false" customHeight="true" outlineLevel="0" collapsed="false">
      <c r="A10" s="20" t="s">
        <v>26</v>
      </c>
      <c r="B10" s="21" t="s">
        <v>27</v>
      </c>
      <c r="C10" s="22" t="n">
        <v>1180.35</v>
      </c>
      <c r="D10" s="11" t="n">
        <v>336.05</v>
      </c>
      <c r="E10" s="11" t="n">
        <v>430.28</v>
      </c>
      <c r="F10" s="11" t="n">
        <v>139.35</v>
      </c>
      <c r="G10" s="12" t="n">
        <v>905.68</v>
      </c>
      <c r="H10" s="13" t="n">
        <v>286.34</v>
      </c>
      <c r="I10" s="14" t="n">
        <v>630.48</v>
      </c>
      <c r="J10" s="15" t="n">
        <v>263.34</v>
      </c>
      <c r="K10" s="16" t="n">
        <v>1180.16</v>
      </c>
      <c r="L10" s="23" t="n">
        <v>0.86</v>
      </c>
      <c r="M10" s="24" t="n">
        <v>274.48</v>
      </c>
      <c r="N10" s="25" t="s">
        <v>25</v>
      </c>
    </row>
    <row r="11" customFormat="false" ht="24" hidden="false" customHeight="true" outlineLevel="0" collapsed="false">
      <c r="A11" s="26" t="s">
        <v>28</v>
      </c>
      <c r="B11" s="27" t="s">
        <v>29</v>
      </c>
      <c r="C11" s="28" t="n">
        <v>1462.66</v>
      </c>
      <c r="D11" s="11" t="n">
        <v>263.91</v>
      </c>
      <c r="E11" s="11" t="n">
        <v>777.2</v>
      </c>
      <c r="F11" s="11" t="n">
        <v>205.92</v>
      </c>
      <c r="G11" s="12" t="n">
        <v>1247.03</v>
      </c>
      <c r="H11" s="13" t="n">
        <v>311.35</v>
      </c>
      <c r="I11" s="14" t="n">
        <v>288.48</v>
      </c>
      <c r="J11" s="15" t="n">
        <v>52.55</v>
      </c>
      <c r="K11" s="16" t="n">
        <v>652.38</v>
      </c>
      <c r="L11" s="29" t="n">
        <v>0.446</v>
      </c>
      <c r="M11" s="18" t="n">
        <v>-594.65</v>
      </c>
      <c r="N11" s="30" t="s">
        <v>30</v>
      </c>
    </row>
    <row r="12" customFormat="false" ht="21.75" hidden="false" customHeight="true" outlineLevel="0" collapsed="false">
      <c r="A12" s="31" t="s">
        <v>31</v>
      </c>
      <c r="B12" s="31"/>
      <c r="C12" s="31"/>
      <c r="D12" s="32" t="n">
        <f aca="false">SUM(D5:D11)</f>
        <v>1612</v>
      </c>
      <c r="E12" s="32" t="n">
        <f aca="false">SUM(E5:E11)</f>
        <v>5357.45</v>
      </c>
      <c r="F12" s="32" t="n">
        <f aca="false">SUM(F5:F11)</f>
        <v>2479.52</v>
      </c>
      <c r="G12" s="32" t="n">
        <f aca="false">SUM(G5:G11)</f>
        <v>9329.34</v>
      </c>
      <c r="H12" s="32" t="n">
        <f aca="false">SUM(H5:H11)</f>
        <v>1663.28</v>
      </c>
      <c r="I12" s="32" t="n">
        <f aca="false">SUM(I5:I11)</f>
        <v>5233.98</v>
      </c>
      <c r="J12" s="32" t="n">
        <f aca="false">SUM(J5:J11)</f>
        <v>2345.95</v>
      </c>
      <c r="K12" s="32" t="n">
        <f aca="false">SUM(K5:K11)</f>
        <v>9243.21</v>
      </c>
      <c r="L12" s="33" t="n">
        <f aca="false">AVERAGE(L5:L11)</f>
        <v>0.793957142857143</v>
      </c>
      <c r="M12" s="34" t="n">
        <f aca="false">SUM(M5:M11)</f>
        <v>-205.76</v>
      </c>
    </row>
    <row r="14" customFormat="false" ht="15" hidden="false" customHeight="true" outlineLevel="0" collapsed="false">
      <c r="A14" s="35" t="s">
        <v>32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customFormat="false" ht="27.75" hidden="false" customHeight="true" outlineLevel="0" collapsed="false">
      <c r="A15" s="36" t="s">
        <v>33</v>
      </c>
      <c r="B15" s="37" t="s">
        <v>34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customFormat="false" ht="27.75" hidden="false" customHeight="true" outlineLevel="0" collapsed="false">
      <c r="A16" s="36" t="s">
        <v>35</v>
      </c>
      <c r="B16" s="37" t="s">
        <v>36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customFormat="false" ht="27.75" hidden="false" customHeight="true" outlineLevel="0" collapsed="false">
      <c r="A17" s="36" t="s">
        <v>37</v>
      </c>
      <c r="B17" s="37" t="s">
        <v>38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customFormat="false" ht="27.75" hidden="false" customHeight="true" outlineLevel="0" collapsed="false">
      <c r="A18" s="36" t="s">
        <v>39</v>
      </c>
      <c r="B18" s="37" t="s">
        <v>40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customFormat="false" ht="27.75" hidden="false" customHeight="true" outlineLevel="0" collapsed="false">
      <c r="A19" s="36" t="s">
        <v>41</v>
      </c>
      <c r="B19" s="37" t="s">
        <v>42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1:N1"/>
    <mergeCell ref="A2:N2"/>
    <mergeCell ref="D3:G3"/>
    <mergeCell ref="H3:K3"/>
    <mergeCell ref="L3:N3"/>
    <mergeCell ref="A12:C12"/>
    <mergeCell ref="A14:N14"/>
    <mergeCell ref="B15:N15"/>
    <mergeCell ref="B16:N16"/>
    <mergeCell ref="B17:N17"/>
    <mergeCell ref="B18:N18"/>
    <mergeCell ref="B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7" min="5" style="1" width="1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28"/>
    <col collapsed="false" customWidth="true" hidden="false" outlineLevel="0" max="11" min="11" style="1" width="30"/>
    <col collapsed="false" customWidth="true" hidden="false" outlineLevel="0" max="12" min="12" style="1" width="18"/>
  </cols>
  <sheetData>
    <row r="1" customFormat="false" ht="27.7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6" hidden="false" customHeight="true" outlineLevel="0" collapsed="false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</row>
    <row r="4" customFormat="false" ht="18" hidden="false" customHeight="true" outlineLevel="0" collapsed="false">
      <c r="A4" s="38" t="s">
        <v>57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customFormat="false" ht="60" hidden="false" customHeight="true" outlineLevel="0" collapsed="false">
      <c r="A5" s="39" t="s">
        <v>58</v>
      </c>
      <c r="B5" s="21" t="s">
        <v>59</v>
      </c>
      <c r="C5" s="21" t="s">
        <v>60</v>
      </c>
      <c r="D5" s="22" t="n">
        <v>132.03</v>
      </c>
      <c r="E5" s="13" t="n">
        <v>23.94</v>
      </c>
      <c r="F5" s="14" t="n">
        <v>73.97</v>
      </c>
      <c r="G5" s="15" t="n">
        <v>27.35</v>
      </c>
      <c r="H5" s="16" t="n">
        <v>125.26</v>
      </c>
      <c r="I5" s="23" t="n">
        <v>0.9487</v>
      </c>
      <c r="J5" s="40" t="s">
        <v>61</v>
      </c>
      <c r="K5" s="41" t="s">
        <v>62</v>
      </c>
      <c r="L5" s="41" t="s">
        <v>63</v>
      </c>
    </row>
    <row r="6" customFormat="false" ht="60" hidden="false" customHeight="true" outlineLevel="0" collapsed="false">
      <c r="A6" s="39" t="s">
        <v>64</v>
      </c>
      <c r="B6" s="21" t="s">
        <v>65</v>
      </c>
      <c r="C6" s="21" t="s">
        <v>18</v>
      </c>
      <c r="D6" s="22" t="n">
        <v>180.18</v>
      </c>
      <c r="E6" s="13" t="n">
        <v>64.2</v>
      </c>
      <c r="F6" s="14" t="n">
        <v>71.82</v>
      </c>
      <c r="G6" s="15" t="n">
        <v>26.47</v>
      </c>
      <c r="H6" s="16" t="n">
        <v>162.49</v>
      </c>
      <c r="I6" s="23" t="n">
        <v>0.9018</v>
      </c>
      <c r="J6" s="40" t="s">
        <v>66</v>
      </c>
      <c r="K6" s="41" t="s">
        <v>67</v>
      </c>
      <c r="L6" s="41" t="s">
        <v>68</v>
      </c>
    </row>
    <row r="7" customFormat="false" ht="60" hidden="false" customHeight="true" outlineLevel="0" collapsed="false">
      <c r="A7" s="39" t="s">
        <v>69</v>
      </c>
      <c r="B7" s="21" t="s">
        <v>70</v>
      </c>
      <c r="C7" s="21" t="s">
        <v>18</v>
      </c>
      <c r="D7" s="22" t="n">
        <v>306.82</v>
      </c>
      <c r="E7" s="13" t="n">
        <v>126.76</v>
      </c>
      <c r="F7" s="14" t="n">
        <v>129.98</v>
      </c>
      <c r="G7" s="15" t="n">
        <v>27.37</v>
      </c>
      <c r="H7" s="16" t="n">
        <v>284.11</v>
      </c>
      <c r="I7" s="23" t="n">
        <v>0.926</v>
      </c>
      <c r="J7" s="40" t="s">
        <v>71</v>
      </c>
      <c r="K7" s="41" t="s">
        <v>72</v>
      </c>
      <c r="L7" s="41" t="s">
        <v>73</v>
      </c>
    </row>
    <row r="8" customFormat="false" ht="60" hidden="false" customHeight="true" outlineLevel="0" collapsed="false">
      <c r="A8" s="39" t="s">
        <v>74</v>
      </c>
      <c r="B8" s="21" t="s">
        <v>16</v>
      </c>
      <c r="C8" s="21" t="s">
        <v>75</v>
      </c>
      <c r="D8" s="22" t="n">
        <v>432.85</v>
      </c>
      <c r="E8" s="13" t="n">
        <v>165.72</v>
      </c>
      <c r="F8" s="14" t="n">
        <v>212.04</v>
      </c>
      <c r="G8" s="15" t="n">
        <v>27.68</v>
      </c>
      <c r="H8" s="16" t="n">
        <v>405.44</v>
      </c>
      <c r="I8" s="23" t="n">
        <v>0.9367</v>
      </c>
      <c r="J8" s="40" t="s">
        <v>76</v>
      </c>
      <c r="K8" s="41" t="s">
        <v>77</v>
      </c>
      <c r="L8" s="41" t="s">
        <v>78</v>
      </c>
    </row>
    <row r="9" customFormat="false" ht="18" hidden="false" customHeight="true" outlineLevel="0" collapsed="false">
      <c r="A9" s="42" t="s">
        <v>79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</row>
    <row r="10" customFormat="false" ht="60" hidden="false" customHeight="true" outlineLevel="0" collapsed="false">
      <c r="A10" s="39" t="s">
        <v>80</v>
      </c>
      <c r="B10" s="21" t="s">
        <v>20</v>
      </c>
      <c r="C10" s="21" t="s">
        <v>81</v>
      </c>
      <c r="D10" s="22" t="n">
        <v>538.47</v>
      </c>
      <c r="E10" s="13" t="n">
        <v>110.1</v>
      </c>
      <c r="F10" s="14" t="n">
        <v>293.87</v>
      </c>
      <c r="G10" s="15" t="n">
        <v>90.04</v>
      </c>
      <c r="H10" s="16" t="n">
        <v>494.01</v>
      </c>
      <c r="I10" s="23" t="n">
        <v>0.9174</v>
      </c>
      <c r="J10" s="40" t="s">
        <v>82</v>
      </c>
      <c r="K10" s="41" t="s">
        <v>83</v>
      </c>
      <c r="L10" s="41" t="s">
        <v>84</v>
      </c>
    </row>
    <row r="11" customFormat="false" ht="60" hidden="false" customHeight="true" outlineLevel="0" collapsed="false">
      <c r="A11" s="43" t="s">
        <v>85</v>
      </c>
      <c r="B11" s="44" t="s">
        <v>86</v>
      </c>
      <c r="C11" s="44" t="s">
        <v>87</v>
      </c>
      <c r="D11" s="45" t="n">
        <v>1437.03</v>
      </c>
      <c r="E11" s="13" t="n">
        <v>130.03</v>
      </c>
      <c r="F11" s="14" t="n">
        <v>673.51</v>
      </c>
      <c r="G11" s="15" t="n">
        <v>392.25</v>
      </c>
      <c r="H11" s="16" t="n">
        <v>1195.79</v>
      </c>
      <c r="I11" s="46" t="n">
        <v>0.8321</v>
      </c>
      <c r="J11" s="47" t="s">
        <v>88</v>
      </c>
      <c r="K11" s="48" t="s">
        <v>89</v>
      </c>
      <c r="L11" s="48" t="s">
        <v>90</v>
      </c>
    </row>
    <row r="12" customFormat="false" ht="60" hidden="false" customHeight="true" outlineLevel="0" collapsed="false">
      <c r="A12" s="43" t="s">
        <v>91</v>
      </c>
      <c r="B12" s="44" t="s">
        <v>92</v>
      </c>
      <c r="C12" s="44" t="s">
        <v>19</v>
      </c>
      <c r="D12" s="45" t="n">
        <v>2326.38</v>
      </c>
      <c r="E12" s="13" t="n">
        <v>857.65</v>
      </c>
      <c r="F12" s="14" t="n">
        <v>882.87</v>
      </c>
      <c r="G12" s="15" t="n">
        <v>271.74</v>
      </c>
      <c r="H12" s="16" t="n">
        <v>2012.26</v>
      </c>
      <c r="I12" s="46" t="n">
        <v>0.865</v>
      </c>
      <c r="J12" s="47" t="s">
        <v>93</v>
      </c>
      <c r="K12" s="48" t="s">
        <v>94</v>
      </c>
      <c r="L12" s="48" t="s">
        <v>95</v>
      </c>
    </row>
    <row r="13" customFormat="false" ht="18" hidden="false" customHeight="true" outlineLevel="0" collapsed="false">
      <c r="A13" s="49" t="s">
        <v>96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</row>
    <row r="14" customFormat="false" ht="60" hidden="false" customHeight="true" outlineLevel="0" collapsed="false">
      <c r="A14" s="43" t="s">
        <v>97</v>
      </c>
      <c r="B14" s="44" t="s">
        <v>98</v>
      </c>
      <c r="C14" s="44" t="s">
        <v>23</v>
      </c>
      <c r="D14" s="45" t="n">
        <v>535.47</v>
      </c>
      <c r="E14" s="13" t="n">
        <v>0.51</v>
      </c>
      <c r="F14" s="14" t="n">
        <v>123.34</v>
      </c>
      <c r="G14" s="15" t="n">
        <v>315.86</v>
      </c>
      <c r="H14" s="16" t="n">
        <v>439.71</v>
      </c>
      <c r="I14" s="46" t="n">
        <v>0.8212</v>
      </c>
      <c r="J14" s="47" t="s">
        <v>99</v>
      </c>
      <c r="K14" s="48" t="s">
        <v>100</v>
      </c>
      <c r="L14" s="48" t="s">
        <v>101</v>
      </c>
    </row>
    <row r="15" customFormat="false" ht="18" hidden="false" customHeight="true" outlineLevel="0" collapsed="false">
      <c r="A15" s="50" t="s">
        <v>102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customFormat="false" ht="60" hidden="false" customHeight="true" outlineLevel="0" collapsed="false">
      <c r="A16" s="43" t="s">
        <v>103</v>
      </c>
      <c r="B16" s="44" t="s">
        <v>27</v>
      </c>
      <c r="C16" s="44" t="s">
        <v>26</v>
      </c>
      <c r="D16" s="45" t="n">
        <v>32.35</v>
      </c>
      <c r="E16" s="13" t="n">
        <v>3.25</v>
      </c>
      <c r="F16" s="14" t="n">
        <v>15.79</v>
      </c>
      <c r="G16" s="15" t="n">
        <v>7.45</v>
      </c>
      <c r="H16" s="16" t="n">
        <v>26.49</v>
      </c>
      <c r="I16" s="46" t="n">
        <v>0.8189</v>
      </c>
      <c r="J16" s="47" t="s">
        <v>104</v>
      </c>
      <c r="K16" s="48" t="s">
        <v>105</v>
      </c>
      <c r="L16" s="48" t="s">
        <v>106</v>
      </c>
    </row>
    <row r="17" customFormat="false" ht="60" hidden="false" customHeight="true" outlineLevel="0" collapsed="false">
      <c r="A17" s="51" t="s">
        <v>107</v>
      </c>
      <c r="B17" s="52" t="s">
        <v>108</v>
      </c>
      <c r="C17" s="52" t="s">
        <v>26</v>
      </c>
      <c r="D17" s="53" t="n">
        <v>171.77</v>
      </c>
      <c r="E17" s="13" t="n">
        <v>2.78</v>
      </c>
      <c r="F17" s="14" t="n">
        <v>15.07</v>
      </c>
      <c r="G17" s="15" t="n">
        <v>12.82</v>
      </c>
      <c r="H17" s="16" t="n">
        <v>30.67</v>
      </c>
      <c r="I17" s="54" t="n">
        <v>0.1786</v>
      </c>
      <c r="J17" s="55" t="s">
        <v>109</v>
      </c>
      <c r="K17" s="56" t="s">
        <v>110</v>
      </c>
      <c r="L17" s="56" t="s">
        <v>111</v>
      </c>
    </row>
    <row r="18" customFormat="false" ht="60" hidden="false" customHeight="true" outlineLevel="0" collapsed="false">
      <c r="A18" s="51" t="s">
        <v>112</v>
      </c>
      <c r="B18" s="52" t="s">
        <v>108</v>
      </c>
      <c r="C18" s="52" t="s">
        <v>26</v>
      </c>
      <c r="D18" s="53" t="n">
        <v>236.39</v>
      </c>
      <c r="E18" s="13" t="n">
        <v>1.62</v>
      </c>
      <c r="F18" s="14" t="n">
        <v>9.06</v>
      </c>
      <c r="G18" s="15" t="n">
        <v>16.61</v>
      </c>
      <c r="H18" s="16" t="n">
        <v>27.29</v>
      </c>
      <c r="I18" s="54" t="n">
        <v>0.1154</v>
      </c>
      <c r="J18" s="55" t="s">
        <v>113</v>
      </c>
      <c r="K18" s="56" t="s">
        <v>114</v>
      </c>
      <c r="L18" s="56" t="s">
        <v>115</v>
      </c>
    </row>
    <row r="19" customFormat="false" ht="18" hidden="false" customHeight="true" outlineLevel="0" collapsed="false">
      <c r="A19" s="57" t="s">
        <v>116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</row>
    <row r="20" customFormat="false" ht="60" hidden="false" customHeight="true" outlineLevel="0" collapsed="false">
      <c r="A20" s="36" t="s">
        <v>117</v>
      </c>
      <c r="B20" s="58" t="s">
        <v>118</v>
      </c>
      <c r="C20" s="58" t="s">
        <v>28</v>
      </c>
      <c r="D20" s="59" t="n">
        <v>872.9</v>
      </c>
      <c r="E20" s="13" t="n">
        <v>311.35</v>
      </c>
      <c r="F20" s="14" t="n">
        <v>288.48</v>
      </c>
      <c r="G20" s="15" t="n">
        <v>52.55</v>
      </c>
      <c r="H20" s="16" t="n">
        <v>652.38</v>
      </c>
      <c r="I20" s="60" t="n">
        <v>0.7474</v>
      </c>
      <c r="J20" s="61" t="s">
        <v>119</v>
      </c>
      <c r="K20" s="62" t="s">
        <v>120</v>
      </c>
      <c r="L20" s="62" t="s">
        <v>121</v>
      </c>
    </row>
    <row r="21" customFormat="false" ht="60" hidden="false" customHeight="true" outlineLevel="0" collapsed="false">
      <c r="A21" s="36" t="s">
        <v>122</v>
      </c>
      <c r="B21" s="58" t="s">
        <v>118</v>
      </c>
      <c r="C21" s="58" t="s">
        <v>28</v>
      </c>
      <c r="D21" s="59" t="n">
        <v>170.66</v>
      </c>
      <c r="E21" s="13" t="n">
        <v>27.5</v>
      </c>
      <c r="F21" s="14" t="n">
        <v>66.02</v>
      </c>
      <c r="G21" s="15" t="n">
        <v>32.01</v>
      </c>
      <c r="H21" s="16" t="n">
        <v>125.53</v>
      </c>
      <c r="I21" s="60" t="n">
        <v>0.7353</v>
      </c>
      <c r="J21" s="61" t="s">
        <v>123</v>
      </c>
      <c r="K21" s="62" t="s">
        <v>124</v>
      </c>
      <c r="L21" s="62" t="s">
        <v>125</v>
      </c>
    </row>
    <row r="23" customFormat="false" ht="39.75" hidden="false" customHeight="true" outlineLevel="0" collapsed="false">
      <c r="A23" s="37" t="s">
        <v>126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</sheetData>
  <mergeCells count="8">
    <mergeCell ref="A1:L1"/>
    <mergeCell ref="A2:L2"/>
    <mergeCell ref="A4:L4"/>
    <mergeCell ref="A9:L9"/>
    <mergeCell ref="A13:L13"/>
    <mergeCell ref="A15:L15"/>
    <mergeCell ref="A19:L19"/>
    <mergeCell ref="A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40"/>
  </cols>
  <sheetData>
    <row r="1" customFormat="false" ht="27.7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128</v>
      </c>
      <c r="B2" s="3"/>
      <c r="C2" s="3"/>
      <c r="D2" s="3"/>
      <c r="E2" s="3"/>
      <c r="F2" s="3"/>
      <c r="G2" s="3"/>
      <c r="H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129</v>
      </c>
      <c r="D3" s="4" t="s">
        <v>130</v>
      </c>
      <c r="E3" s="4" t="s">
        <v>131</v>
      </c>
      <c r="F3" s="4" t="s">
        <v>132</v>
      </c>
      <c r="G3" s="4" t="s">
        <v>14</v>
      </c>
      <c r="H3" s="4" t="s">
        <v>133</v>
      </c>
    </row>
    <row r="4" customFormat="false" ht="39.75" hidden="false" customHeight="true" outlineLevel="0" collapsed="false">
      <c r="A4" s="8" t="s">
        <v>15</v>
      </c>
      <c r="B4" s="9" t="s">
        <v>16</v>
      </c>
      <c r="C4" s="10" t="n">
        <v>1784.47</v>
      </c>
      <c r="D4" s="16" t="n">
        <v>1497.63</v>
      </c>
      <c r="E4" s="17" t="n">
        <v>0.8393</v>
      </c>
      <c r="F4" s="63" t="n">
        <v>-43.35</v>
      </c>
      <c r="G4" s="64" t="s">
        <v>134</v>
      </c>
      <c r="H4" s="9" t="s">
        <v>135</v>
      </c>
    </row>
    <row r="5" customFormat="false" ht="39.75" hidden="false" customHeight="true" outlineLevel="0" collapsed="false">
      <c r="A5" s="8" t="s">
        <v>18</v>
      </c>
      <c r="B5" s="9" t="s">
        <v>16</v>
      </c>
      <c r="C5" s="10" t="n">
        <v>1152.74</v>
      </c>
      <c r="D5" s="16" t="n">
        <v>970.71</v>
      </c>
      <c r="E5" s="17" t="n">
        <v>0.8421</v>
      </c>
      <c r="F5" s="63" t="n">
        <v>-0.7</v>
      </c>
      <c r="G5" s="64" t="s">
        <v>136</v>
      </c>
      <c r="H5" s="9" t="s">
        <v>137</v>
      </c>
    </row>
    <row r="6" customFormat="false" ht="39.75" hidden="false" customHeight="true" outlineLevel="0" collapsed="false">
      <c r="A6" s="8" t="s">
        <v>19</v>
      </c>
      <c r="B6" s="9" t="s">
        <v>20</v>
      </c>
      <c r="C6" s="10" t="n">
        <v>2071.51</v>
      </c>
      <c r="D6" s="16" t="n">
        <v>1886.37</v>
      </c>
      <c r="E6" s="17" t="n">
        <v>0.9105</v>
      </c>
      <c r="F6" s="63" t="n">
        <v>-7.39</v>
      </c>
      <c r="G6" s="64" t="s">
        <v>134</v>
      </c>
      <c r="H6" s="9" t="s">
        <v>138</v>
      </c>
    </row>
    <row r="7" customFormat="false" ht="39.75" hidden="false" customHeight="true" outlineLevel="0" collapsed="false">
      <c r="A7" s="8" t="s">
        <v>139</v>
      </c>
      <c r="B7" s="9" t="s">
        <v>140</v>
      </c>
      <c r="C7" s="10" t="s">
        <v>141</v>
      </c>
      <c r="D7" s="16" t="n">
        <v>1695.66</v>
      </c>
      <c r="E7" s="17" t="n">
        <v>0.8893</v>
      </c>
      <c r="F7" s="63" t="n">
        <v>-11.35</v>
      </c>
      <c r="G7" s="64" t="s">
        <v>134</v>
      </c>
      <c r="H7" s="9" t="s">
        <v>142</v>
      </c>
    </row>
    <row r="8" customFormat="false" ht="39.75" hidden="false" customHeight="true" outlineLevel="0" collapsed="false">
      <c r="A8" s="20" t="s">
        <v>23</v>
      </c>
      <c r="B8" s="21" t="s">
        <v>24</v>
      </c>
      <c r="C8" s="22" t="n">
        <v>1765.57</v>
      </c>
      <c r="D8" s="16" t="n">
        <v>1360.3</v>
      </c>
      <c r="E8" s="23" t="n">
        <v>0.7705</v>
      </c>
      <c r="F8" s="24" t="n">
        <v>177.2</v>
      </c>
      <c r="G8" s="25" t="s">
        <v>143</v>
      </c>
      <c r="H8" s="21" t="s">
        <v>144</v>
      </c>
    </row>
    <row r="9" customFormat="false" ht="39.75" hidden="false" customHeight="true" outlineLevel="0" collapsed="false">
      <c r="A9" s="20" t="s">
        <v>26</v>
      </c>
      <c r="B9" s="21" t="s">
        <v>27</v>
      </c>
      <c r="C9" s="22" t="n">
        <v>1180.35</v>
      </c>
      <c r="D9" s="16" t="n">
        <v>1180.16</v>
      </c>
      <c r="E9" s="23" t="n">
        <v>0.86</v>
      </c>
      <c r="F9" s="24" t="n">
        <v>274.48</v>
      </c>
      <c r="G9" s="25" t="s">
        <v>145</v>
      </c>
      <c r="H9" s="21" t="s">
        <v>146</v>
      </c>
    </row>
    <row r="10" customFormat="false" ht="39.75" hidden="false" customHeight="true" outlineLevel="0" collapsed="false">
      <c r="A10" s="26" t="s">
        <v>28</v>
      </c>
      <c r="B10" s="27" t="s">
        <v>29</v>
      </c>
      <c r="C10" s="28" t="n">
        <v>1462.66</v>
      </c>
      <c r="D10" s="16" t="n">
        <v>652.38</v>
      </c>
      <c r="E10" s="29" t="n">
        <v>0.446</v>
      </c>
      <c r="F10" s="18" t="n">
        <v>-594.65</v>
      </c>
      <c r="G10" s="30" t="s">
        <v>147</v>
      </c>
      <c r="H10" s="27" t="s">
        <v>148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8.56"/>
    <col collapsed="false" customWidth="true" hidden="false" outlineLevel="0" max="2" min="2" style="0" width="17.01"/>
    <col collapsed="false" customWidth="true" hidden="false" outlineLevel="0" max="3" min="3" style="0" width="17.67"/>
    <col collapsed="false" customWidth="true" hidden="false" outlineLevel="0" max="7" min="7" style="0" width="19.33"/>
    <col collapsed="false" customWidth="true" hidden="false" outlineLevel="0" max="8" min="8" style="0" width="16.13"/>
    <col collapsed="false" customWidth="true" hidden="false" outlineLevel="0" max="9" min="9" style="0" width="24.06"/>
  </cols>
  <sheetData>
    <row r="1" customFormat="false" ht="23.85" hidden="false" customHeight="false" outlineLevel="0" collapsed="false">
      <c r="A1" s="65" t="s">
        <v>149</v>
      </c>
      <c r="B1" s="65" t="s">
        <v>150</v>
      </c>
      <c r="C1" s="65" t="s">
        <v>151</v>
      </c>
      <c r="D1" s="65" t="s">
        <v>152</v>
      </c>
      <c r="E1" s="65" t="s">
        <v>153</v>
      </c>
      <c r="F1" s="65" t="s">
        <v>154</v>
      </c>
      <c r="G1" s="65" t="s">
        <v>155</v>
      </c>
      <c r="H1" s="65" t="s">
        <v>156</v>
      </c>
      <c r="I1" s="65" t="s">
        <v>157</v>
      </c>
    </row>
    <row r="2" customFormat="false" ht="13.8" hidden="false" customHeight="false" outlineLevel="0" collapsed="false">
      <c r="A2" s="0" t="s">
        <v>158</v>
      </c>
      <c r="B2" s="0" t="s">
        <v>16</v>
      </c>
      <c r="C2" s="0" t="n">
        <v>1784.47</v>
      </c>
      <c r="D2" s="0" t="n">
        <v>126.72</v>
      </c>
      <c r="E2" s="0" t="n">
        <v>1002.77</v>
      </c>
      <c r="F2" s="0" t="n">
        <v>368.14</v>
      </c>
      <c r="G2" s="0" t="n">
        <v>1497.63</v>
      </c>
      <c r="H2" s="66" t="n">
        <v>0.8393</v>
      </c>
      <c r="I2" s="0" t="n">
        <v>-43.35</v>
      </c>
    </row>
    <row r="3" customFormat="false" ht="13.8" hidden="false" customHeight="false" outlineLevel="0" collapsed="false">
      <c r="A3" s="0" t="s">
        <v>159</v>
      </c>
      <c r="B3" s="0" t="s">
        <v>16</v>
      </c>
      <c r="C3" s="0" t="n">
        <v>1152.74</v>
      </c>
      <c r="D3" s="0" t="n">
        <v>223.88</v>
      </c>
      <c r="E3" s="0" t="n">
        <v>587.53</v>
      </c>
      <c r="F3" s="0" t="n">
        <v>159.3</v>
      </c>
      <c r="G3" s="0" t="n">
        <v>970.71</v>
      </c>
      <c r="H3" s="66" t="n">
        <v>0.8421</v>
      </c>
      <c r="I3" s="0" t="n">
        <v>-0.7</v>
      </c>
    </row>
    <row r="4" customFormat="false" ht="13.8" hidden="false" customHeight="false" outlineLevel="0" collapsed="false">
      <c r="A4" s="0" t="s">
        <v>160</v>
      </c>
      <c r="B4" s="0" t="s">
        <v>20</v>
      </c>
      <c r="C4" s="0" t="n">
        <v>2071.51</v>
      </c>
      <c r="D4" s="0" t="n">
        <v>419.09</v>
      </c>
      <c r="E4" s="0" t="n">
        <v>1036.32</v>
      </c>
      <c r="F4" s="0" t="n">
        <v>430.96</v>
      </c>
      <c r="G4" s="0" t="n">
        <v>1886.37</v>
      </c>
      <c r="H4" s="66" t="n">
        <v>0.9105</v>
      </c>
      <c r="I4" s="0" t="n">
        <v>-7.39</v>
      </c>
    </row>
    <row r="5" customFormat="false" ht="13.8" hidden="false" customHeight="false" outlineLevel="0" collapsed="false">
      <c r="A5" s="0" t="s">
        <v>161</v>
      </c>
      <c r="B5" s="0" t="s">
        <v>162</v>
      </c>
      <c r="C5" s="0" t="n">
        <v>1906.94</v>
      </c>
      <c r="D5" s="0" t="n">
        <v>134.67</v>
      </c>
      <c r="E5" s="0" t="n">
        <v>1030.31</v>
      </c>
      <c r="F5" s="0" t="n">
        <v>530.68</v>
      </c>
      <c r="G5" s="0" t="n">
        <v>1695.66</v>
      </c>
      <c r="H5" s="66" t="n">
        <v>0.8893</v>
      </c>
      <c r="I5" s="0" t="n">
        <v>-11.35</v>
      </c>
    </row>
    <row r="6" customFormat="false" ht="13.8" hidden="false" customHeight="false" outlineLevel="0" collapsed="false">
      <c r="A6" s="0" t="s">
        <v>163</v>
      </c>
      <c r="B6" s="0" t="s">
        <v>24</v>
      </c>
      <c r="C6" s="0" t="n">
        <v>1765.57</v>
      </c>
      <c r="D6" s="0" t="n">
        <v>161.23</v>
      </c>
      <c r="E6" s="0" t="n">
        <v>658.09</v>
      </c>
      <c r="F6" s="0" t="n">
        <v>540.98</v>
      </c>
      <c r="G6" s="0" t="n">
        <v>1360.3</v>
      </c>
      <c r="H6" s="66" t="n">
        <v>0.7705</v>
      </c>
      <c r="I6" s="0" t="n">
        <v>177.2</v>
      </c>
    </row>
    <row r="7" customFormat="false" ht="13.8" hidden="false" customHeight="false" outlineLevel="0" collapsed="false">
      <c r="A7" s="0" t="s">
        <v>164</v>
      </c>
      <c r="B7" s="0" t="s">
        <v>27</v>
      </c>
      <c r="C7" s="0" t="n">
        <v>1180.35</v>
      </c>
      <c r="D7" s="0" t="n">
        <v>286.34</v>
      </c>
      <c r="E7" s="0" t="n">
        <v>630.48</v>
      </c>
      <c r="F7" s="0" t="n">
        <v>263.34</v>
      </c>
      <c r="G7" s="0" t="n">
        <v>1180.16</v>
      </c>
      <c r="H7" s="66" t="n">
        <v>0.86</v>
      </c>
      <c r="I7" s="0" t="n">
        <v>274.48</v>
      </c>
    </row>
    <row r="8" customFormat="false" ht="13.8" hidden="false" customHeight="false" outlineLevel="0" collapsed="false">
      <c r="A8" s="0" t="s">
        <v>165</v>
      </c>
      <c r="B8" s="0" t="s">
        <v>29</v>
      </c>
      <c r="C8" s="0" t="n">
        <v>1462.66</v>
      </c>
      <c r="D8" s="0" t="n">
        <v>311.35</v>
      </c>
      <c r="E8" s="0" t="n">
        <v>288.48</v>
      </c>
      <c r="F8" s="0" t="n">
        <v>52.55</v>
      </c>
      <c r="G8" s="0" t="n">
        <v>652.38</v>
      </c>
      <c r="H8" s="66" t="n">
        <v>0.446</v>
      </c>
      <c r="I8" s="0" t="n">
        <v>-594.65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2026-02-12T06:54:58Z</dcterms:created>
  <dc:creator>openpyxl</dc:creator>
  <dc:description/>
  <dc:language>en-US</dc:language>
  <cp:lastModifiedBy/>
  <dcterms:modified xsi:type="dcterms:W3CDTF">2026-02-14T19:50:53Z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