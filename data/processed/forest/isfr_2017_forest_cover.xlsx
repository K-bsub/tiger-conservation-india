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rve Forest Context" sheetId="1" state="visible" r:id="rId3"/>
    <sheet name="Comparativ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<sst xmlns="http://schemas.openxmlformats.org/spreadsheetml/2006/main" count="139" uniqueCount="122">
  <si>
    <t xml:space="preserve">ISFR 2017 — Forest Cover Context for 7 Tiger Reserves</t>
  </si>
  <si>
    <t xml:space="preserve">District-level forest cover data from India State of Forest Report 2017 (FSI). Corbett = Pauri Garhwal + Nainital districts. Pench spans MP + Maharashtra.</t>
  </si>
  <si>
    <t xml:space="preserve">Reserve</t>
  </si>
  <si>
    <t xml:space="preserve">State(s)</t>
  </si>
  <si>
    <t xml:space="preserve">Key District(s)</t>
  </si>
  <si>
    <t xml:space="preserve">Geo. Area
(sq km)</t>
  </si>
  <si>
    <t xml:space="preserve">VDF
(sq km)</t>
  </si>
  <si>
    <t xml:space="preserve">MDF
(sq km)</t>
  </si>
  <si>
    <t xml:space="preserve">OF
(sq km)</t>
  </si>
  <si>
    <t xml:space="preserve">Total Forest
(sq km)</t>
  </si>
  <si>
    <t xml:space="preserve">% of Dist.
Geo. Area</t>
  </si>
  <si>
    <t xml:space="preserve">Forest
Density Class</t>
  </si>
  <si>
    <t xml:space="preserve">State Forest %
(context)</t>
  </si>
  <si>
    <t xml:space="preserve">Landscape
Character</t>
  </si>
  <si>
    <t xml:space="preserve">Source
(ISFR 2017)</t>
  </si>
  <si>
    <t xml:space="preserve">Notes</t>
  </si>
  <si>
    <t xml:space="preserve">BANDIPUR</t>
  </si>
  <si>
    <t xml:space="preserve">Bandipur TR</t>
  </si>
  <si>
    <t xml:space="preserve">Karnataka</t>
  </si>
  <si>
    <t xml:space="preserve">Chamarajanagar (primary)
Mysore</t>
  </si>
  <si>
    <t xml:space="preserve">Moderate-High
(MDF dominant)</t>
  </si>
  <si>
    <t xml:space="preserve">19.58%</t>
  </si>
  <si>
    <t xml:space="preserve">Southern Deccan dry deciduous + moist deciduous; Western Ghats foothills</t>
  </si>
  <si>
    <t xml:space="preserve">Table 9.13.7, p.216</t>
  </si>
  <si>
    <t xml:space="preserve">Chamarajanagar district is the primary administrative unit. 48% forest cover is high.</t>
  </si>
  <si>
    <t xml:space="preserve">NAGARAHOLE</t>
  </si>
  <si>
    <t xml:space="preserve">Nagarahole TR</t>
  </si>
  <si>
    <t xml:space="preserve">Kodagu (primary)
Mysore</t>
  </si>
  <si>
    <t xml:space="preserve">Very High
(MDF dominant)</t>
  </si>
  <si>
    <t xml:space="preserve">Moist deciduous &amp; semi-evergreen; Western Ghats; coffee plantation matrix</t>
  </si>
  <si>
    <t xml:space="preserve">Table 9.13.7, p.216–217</t>
  </si>
  <si>
    <t xml:space="preserve">Kodagu is one of the most forested districts in India at 79%. Contiguous with Bandipur.</t>
  </si>
  <si>
    <t xml:space="preserve">KANHA</t>
  </si>
  <si>
    <t xml:space="preserve">Kanha TR</t>
  </si>
  <si>
    <t xml:space="preserve">Madhya Pradesh</t>
  </si>
  <si>
    <t xml:space="preserve">Mandla (primary)
Balaghat</t>
  </si>
  <si>
    <t xml:space="preserve">Moderate
(MDF + OF mixed)</t>
  </si>
  <si>
    <t xml:space="preserve">25.11%</t>
  </si>
  <si>
    <t xml:space="preserve">Sal &amp; mixed deciduous forest; Maikal hills; Satpura-Maikal landscape</t>
  </si>
  <si>
    <t xml:space="preserve">Table 9.15.7, p.228–229</t>
  </si>
  <si>
    <t xml:space="preserve">Mandla 44% forest. Balaghat (53%) forms the eastern buffer landscape.</t>
  </si>
  <si>
    <t xml:space="preserve">PENCH</t>
  </si>
  <si>
    <t xml:space="preserve">Pench TR (MP)</t>
  </si>
  <si>
    <t xml:space="preserve">Seoni
Chhindwara</t>
  </si>
  <si>
    <t xml:space="preserve">Moderate
(MDF dominant)</t>
  </si>
  <si>
    <t xml:space="preserve">Teak &amp; mixed deciduous; Satpura foothills; shared reserve with Maharashtra</t>
  </si>
  <si>
    <t xml:space="preserve">Seoni is the core MP district. Reserve straddles MP–Maharashtra border.</t>
  </si>
  <si>
    <t xml:space="preserve">Pench TR (MH)</t>
  </si>
  <si>
    <t xml:space="preserve">Maharashtra</t>
  </si>
  <si>
    <t xml:space="preserve">Nagpur
Chandrapur</t>
  </si>
  <si>
    <t xml:space="preserve">16.47%</t>
  </si>
  <si>
    <t xml:space="preserve">Teak deciduous; Vidarbha landscape; northern Maharashtra</t>
  </si>
  <si>
    <t xml:space="preserve">Table 9.16.7, p.235–236</t>
  </si>
  <si>
    <t xml:space="preserve">Nagpur district data. Chandrapur (36%) represents the broader corridor landscape.</t>
  </si>
  <si>
    <t xml:space="preserve">RANTHAMBORE</t>
  </si>
  <si>
    <t xml:space="preserve">Ranthambore TR</t>
  </si>
  <si>
    <t xml:space="preserve">Rajasthan</t>
  </si>
  <si>
    <t xml:space="preserve">Sawai Madhopur (primary)
Karauli</t>
  </si>
  <si>
    <t xml:space="preserve">Low
(OF dominant)</t>
  </si>
  <si>
    <t xml:space="preserve">4.84%</t>
  </si>
  <si>
    <t xml:space="preserve">Dry deciduous scrub forest; Aravalli-Vindhya junction; semi-arid</t>
  </si>
  <si>
    <t xml:space="preserve">Table 9.23.7, p.276–277</t>
  </si>
  <si>
    <t xml:space="preserve">Only 10% forest cover — lowest of all 7 reserves. Very Dense Forest = 0 sq km. Tiger success despite sparse forests.</t>
  </si>
  <si>
    <t xml:space="preserve">KAZIRANGA</t>
  </si>
  <si>
    <t xml:space="preserve">Kaziranga TR</t>
  </si>
  <si>
    <t xml:space="preserve">Assam</t>
  </si>
  <si>
    <t xml:space="preserve">Golaghat (primary)
Nagaon</t>
  </si>
  <si>
    <t xml:space="preserve">Low Forest
(OF dominant)</t>
  </si>
  <si>
    <t xml:space="preserve">35.83%</t>
  </si>
  <si>
    <t xml:space="preserve">Brahmaputra floodplain; alluvial grassland (primary habitat); riverine forest patches</t>
  </si>
  <si>
    <t xml:space="preserve">Table 9.3.7, p.157–158</t>
  </si>
  <si>
    <t xml:space="preserve">Forest % misleading here — Kaziranga is a GRASSLAND ecosystem. Low forest % is ecologically correct, not a conservation concern.</t>
  </si>
  <si>
    <t xml:space="preserve">JIM CORBETT</t>
  </si>
  <si>
    <t xml:space="preserve">Jim Corbett TR</t>
  </si>
  <si>
    <t xml:space="preserve">Uttarakhand</t>
  </si>
  <si>
    <t xml:space="preserve">Pauri Garhwal (primary)
Nainital</t>
  </si>
  <si>
    <t xml:space="preserve">45.43%</t>
  </si>
  <si>
    <t xml:space="preserve">Sub-Himalayan Terai-Bhabar; sal forest; Ramganga river basin; altitudinal gradient</t>
  </si>
  <si>
    <t xml:space="preserve">Table 9.29.7, p.312</t>
  </si>
  <si>
    <t xml:space="preserve">Pauri Garhwal is the primary district. Uttarakhand has high overall forest cover (45%). Corbett is at the Himalayan foothills transition.</t>
  </si>
  <si>
    <t xml:space="preserve">Comparative Forest Cover — 7 Tiger Reserves (ISFR 2017, District Level)</t>
  </si>
  <si>
    <t xml:space="preserve">Ranked by % forest cover. VDF = Very Dense Forest (&gt;70% canopy), MDF = Moderately Dense (40–70%), OF = Open Forest (10–40%). Source: ISFR 2017.</t>
  </si>
  <si>
    <t xml:space="preserve">State</t>
  </si>
  <si>
    <t xml:space="preserve">VDF (sq km)</t>
  </si>
  <si>
    <t xml:space="preserve">MDF (sq km)</t>
  </si>
  <si>
    <t xml:space="preserve">OF (sq km)</t>
  </si>
  <si>
    <t xml:space="preserve">Total Forest (sq km)</t>
  </si>
  <si>
    <t xml:space="preserve">District Geo. Area (sq km)</t>
  </si>
  <si>
    <t xml:space="preserve">Forest % of Dist.</t>
  </si>
  <si>
    <t xml:space="preserve">VDF as % of Total Forest</t>
  </si>
  <si>
    <t xml:space="preserve">Landscape Type</t>
  </si>
  <si>
    <t xml:space="preserve">Nagarahole</t>
  </si>
  <si>
    <t xml:space="preserve">Very High — Wet Deciduous / Semi-Evergreen</t>
  </si>
  <si>
    <t xml:space="preserve">Bandipur</t>
  </si>
  <si>
    <t xml:space="preserve">Moderate-High — Dry Deciduous</t>
  </si>
  <si>
    <t xml:space="preserve">Kanha</t>
  </si>
  <si>
    <t xml:space="preserve">Moderate — Sal / Mixed Deciduous</t>
  </si>
  <si>
    <t xml:space="preserve">Pench (MP)</t>
  </si>
  <si>
    <t xml:space="preserve">Moderate — Teak Deciduous</t>
  </si>
  <si>
    <t xml:space="preserve">Jim Corbett</t>
  </si>
  <si>
    <t xml:space="preserve">Moderate — Sal / Sub-Himalayan</t>
  </si>
  <si>
    <t xml:space="preserve">Pench (MH)</t>
  </si>
  <si>
    <t xml:space="preserve">Kaziranga</t>
  </si>
  <si>
    <t xml:space="preserve">Grassland / Floodplain (forest % not primary metric)</t>
  </si>
  <si>
    <t xml:space="preserve">Ranthambore</t>
  </si>
  <si>
    <t xml:space="preserve">Low — Dry Scrub / Semi-Arid</t>
  </si>
  <si>
    <t xml:space="preserve">TOTAL / AVERAGE</t>
  </si>
  <si>
    <t xml:space="preserve">LEGEND &amp; METHODOLOGY NOTES</t>
  </si>
  <si>
    <t xml:space="preserve">VDF (Very Dense Forest)</t>
  </si>
  <si>
    <t xml:space="preserve">Forest with canopy density &gt; 70%. Highest ecological value for tigers.</t>
  </si>
  <si>
    <t xml:space="preserve">MDF (Moderately Dense)</t>
  </si>
  <si>
    <t xml:space="preserve">Forest with canopy density 40–70%. Core tiger habitat in most reserves.</t>
  </si>
  <si>
    <t xml:space="preserve">OF (Open Forest)</t>
  </si>
  <si>
    <t xml:space="preserve">Forest with canopy density 10–40%. Buffer/corridor value.</t>
  </si>
  <si>
    <t xml:space="preserve">Data Level</t>
  </si>
  <si>
    <t xml:space="preserve">District-level data from ISFR 2017. Reserve-level values require GIS Zonal Statistics on FSI raster.</t>
  </si>
  <si>
    <t xml:space="preserve">Kaziranga caveat</t>
  </si>
  <si>
    <t xml:space="preserve">Kaziranga is a floodplain grassland ecosystem. Low forest % is ecologically correct — tigers here depend on tall elephant grass, not forest.</t>
  </si>
  <si>
    <t xml:space="preserve">Ranthambore caveat</t>
  </si>
  <si>
    <t xml:space="preserve">Only reserve with 0 sq km of VDF. Tiger success here (2006→2022 population growth) makes it a compelling conservation story despite sparse forest.</t>
  </si>
  <si>
    <t xml:space="preserve">Next step</t>
  </si>
  <si>
    <t xml:space="preserve">Use ArcGIS Zonal Statistics with FSI raster + reserve boundary polygons to extract exact forest cover within each reserve boundary.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</si>
</sst>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C28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sz val="9"/>
      <color rgb="FF1C2833"/>
      <name val="Arial"/>
      <family val="0"/>
      <charset val="1"/>
    </font>
    <font>
      <sz val="10"/>
      <color rgb="FF1C2833"/>
      <name val="Arial"/>
      <family val="0"/>
      <charset val="1"/>
    </font>
    <font>
      <i val="true"/>
      <sz val="8"/>
      <color rgb="FF1C28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C2833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FEF9E7"/>
        <bgColor rgb="FFFDFEFE"/>
      </patternFill>
    </fill>
    <fill>
      <patternFill patternType="solid">
        <fgColor rgb="FF145A32"/>
        <bgColor rgb="FF154360"/>
      </patternFill>
    </fill>
    <fill>
      <patternFill patternType="solid">
        <fgColor rgb="FFFDFEFE"/>
        <bgColor rgb="FFFFFFFF"/>
      </patternFill>
    </fill>
    <fill>
      <patternFill patternType="solid">
        <fgColor rgb="FF1E8449"/>
        <bgColor rgb="FF008080"/>
      </patternFill>
    </fill>
    <fill>
      <patternFill patternType="solid">
        <fgColor rgb="FF52BE80"/>
        <bgColor rgb="FF969696"/>
      </patternFill>
    </fill>
    <fill>
      <patternFill patternType="solid">
        <fgColor rgb="FFA9DFBF"/>
        <bgColor rgb="FFCCCCCC"/>
      </patternFill>
    </fill>
    <fill>
      <patternFill patternType="solid">
        <fgColor rgb="FFD4EFDF"/>
        <bgColor rgb="FFD5F5E3"/>
      </patternFill>
    </fill>
    <fill>
      <patternFill patternType="solid">
        <fgColor rgb="FFD5F5E3"/>
        <bgColor rgb="FFD4EFDF"/>
      </patternFill>
    </fill>
    <fill>
      <patternFill patternType="solid">
        <fgColor rgb="FF6E2F0F"/>
        <bgColor rgb="FF784212"/>
      </patternFill>
    </fill>
    <fill>
      <patternFill patternType="solid">
        <fgColor rgb="FF784212"/>
        <bgColor rgb="FF6E2F0F"/>
      </patternFill>
    </fill>
    <fill>
      <patternFill patternType="solid">
        <fgColor rgb="FFF2F3F4"/>
        <bgColor rgb="FFFEF9E7"/>
      </patternFill>
    </fill>
    <fill>
      <patternFill patternType="solid">
        <fgColor rgb="FF7D6608"/>
        <bgColor rgb="FF784212"/>
      </patternFill>
    </fill>
    <fill>
      <patternFill patternType="solid">
        <fgColor rgb="FFFDEBD0"/>
        <bgColor rgb="FFFEF9E7"/>
      </patternFill>
    </fill>
    <fill>
      <patternFill patternType="solid">
        <fgColor rgb="FF154360"/>
        <bgColor rgb="FF1A5276"/>
      </patternFill>
    </fill>
    <fill>
      <patternFill patternType="solid">
        <fgColor rgb="FF4A235A"/>
        <bgColor rgb="FF1C2833"/>
      </patternFill>
    </fill>
    <fill>
      <patternFill patternType="solid">
        <fgColor rgb="FF2E86C1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EF9E7"/>
      <rgbColor rgb="FFD4EFDF"/>
      <rgbColor rgb="FF660066"/>
      <rgbColor rgb="FFFF8080"/>
      <rgbColor rgb="FF1A5276"/>
      <rgbColor rgb="FFFDFE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A9DFBF"/>
      <rgbColor rgb="FFFF99CC"/>
      <rgbColor rgb="FFCC99FF"/>
      <rgbColor rgb="FFFFCC99"/>
      <rgbColor rgb="FF2E86C1"/>
      <rgbColor rgb="FF52BE80"/>
      <rgbColor rgb="FF99CC00"/>
      <rgbColor rgb="FFFFCC00"/>
      <rgbColor rgb="FFFF9900"/>
      <rgbColor rgb="FFFF6600"/>
      <rgbColor rgb="FF666699"/>
      <rgbColor rgb="FF969696"/>
      <rgbColor rgb="FF154360"/>
      <rgbColor rgb="FF1E8449"/>
      <rgbColor rgb="FF003300"/>
      <rgbColor rgb="FF6E2F0F"/>
      <rgbColor rgb="FF784212"/>
      <rgbColor rgb="FF993366"/>
      <rgbColor rgb="FF4A235A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4"/>
    <col collapsed="false" customWidth="true" hidden="false" outlineLevel="0" max="14" min="14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8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51.75" hidden="false" customHeight="true" outlineLevel="0" collapsed="false">
      <c r="A5" s="5" t="s">
        <v>17</v>
      </c>
      <c r="B5" s="6" t="s">
        <v>18</v>
      </c>
      <c r="C5" s="6" t="s">
        <v>19</v>
      </c>
      <c r="D5" s="7" t="n">
        <v>5648</v>
      </c>
      <c r="E5" s="8" t="n">
        <v>91</v>
      </c>
      <c r="F5" s="9" t="n">
        <v>1524</v>
      </c>
      <c r="G5" s="10" t="n">
        <v>1105</v>
      </c>
      <c r="H5" s="11" t="n">
        <v>2720</v>
      </c>
      <c r="I5" s="12" t="n">
        <v>0.4816</v>
      </c>
      <c r="J5" s="13" t="s">
        <v>20</v>
      </c>
      <c r="K5" s="13" t="s">
        <v>21</v>
      </c>
      <c r="L5" s="6" t="s">
        <v>22</v>
      </c>
      <c r="M5" s="14" t="s">
        <v>23</v>
      </c>
      <c r="N5" s="6" t="s">
        <v>24</v>
      </c>
    </row>
    <row r="6" customFormat="false" ht="18" hidden="false" customHeight="true" outlineLevel="0" collapsed="false">
      <c r="A6" s="15" t="s">
        <v>25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customFormat="false" ht="51.75" hidden="false" customHeight="true" outlineLevel="0" collapsed="false">
      <c r="A7" s="16" t="s">
        <v>26</v>
      </c>
      <c r="B7" s="17" t="s">
        <v>18</v>
      </c>
      <c r="C7" s="17" t="s">
        <v>27</v>
      </c>
      <c r="D7" s="18" t="n">
        <v>4102</v>
      </c>
      <c r="E7" s="8" t="n">
        <v>796</v>
      </c>
      <c r="F7" s="9" t="n">
        <v>1880</v>
      </c>
      <c r="G7" s="10" t="n">
        <v>575</v>
      </c>
      <c r="H7" s="11" t="n">
        <v>3251</v>
      </c>
      <c r="I7" s="19" t="n">
        <v>0.7925</v>
      </c>
      <c r="J7" s="20" t="s">
        <v>28</v>
      </c>
      <c r="K7" s="20" t="s">
        <v>21</v>
      </c>
      <c r="L7" s="17" t="s">
        <v>29</v>
      </c>
      <c r="M7" s="21" t="s">
        <v>30</v>
      </c>
      <c r="N7" s="17" t="s">
        <v>31</v>
      </c>
    </row>
    <row r="8" customFormat="false" ht="18" hidden="false" customHeight="true" outlineLevel="0" collapsed="false">
      <c r="A8" s="22" t="s">
        <v>32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9" customFormat="false" ht="51.75" hidden="false" customHeight="true" outlineLevel="0" collapsed="false">
      <c r="A9" s="5" t="s">
        <v>33</v>
      </c>
      <c r="B9" s="6" t="s">
        <v>34</v>
      </c>
      <c r="C9" s="6" t="s">
        <v>35</v>
      </c>
      <c r="D9" s="7" t="n">
        <v>5800</v>
      </c>
      <c r="E9" s="8" t="n">
        <v>692</v>
      </c>
      <c r="F9" s="9" t="n">
        <v>1088</v>
      </c>
      <c r="G9" s="10" t="n">
        <v>789</v>
      </c>
      <c r="H9" s="11" t="n">
        <v>2569</v>
      </c>
      <c r="I9" s="12" t="n">
        <v>0.4429</v>
      </c>
      <c r="J9" s="13" t="s">
        <v>36</v>
      </c>
      <c r="K9" s="13" t="s">
        <v>37</v>
      </c>
      <c r="L9" s="6" t="s">
        <v>38</v>
      </c>
      <c r="M9" s="14" t="s">
        <v>39</v>
      </c>
      <c r="N9" s="6" t="s">
        <v>40</v>
      </c>
    </row>
    <row r="10" customFormat="false" ht="18" hidden="false" customHeight="true" outlineLevel="0" collapsed="false">
      <c r="A10" s="23" t="s">
        <v>41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customFormat="false" ht="51.75" hidden="false" customHeight="true" outlineLevel="0" collapsed="false">
      <c r="A11" s="5" t="s">
        <v>42</v>
      </c>
      <c r="B11" s="6" t="s">
        <v>34</v>
      </c>
      <c r="C11" s="6" t="s">
        <v>43</v>
      </c>
      <c r="D11" s="7" t="n">
        <v>8758</v>
      </c>
      <c r="E11" s="8" t="n">
        <v>237</v>
      </c>
      <c r="F11" s="9" t="n">
        <v>1795</v>
      </c>
      <c r="G11" s="10" t="n">
        <v>1071</v>
      </c>
      <c r="H11" s="11" t="n">
        <v>3103</v>
      </c>
      <c r="I11" s="12" t="n">
        <v>0.3543</v>
      </c>
      <c r="J11" s="13" t="s">
        <v>44</v>
      </c>
      <c r="K11" s="13" t="s">
        <v>37</v>
      </c>
      <c r="L11" s="6" t="s">
        <v>45</v>
      </c>
      <c r="M11" s="14" t="s">
        <v>39</v>
      </c>
      <c r="N11" s="6" t="s">
        <v>46</v>
      </c>
    </row>
    <row r="12" customFormat="false" ht="51.75" hidden="false" customHeight="true" outlineLevel="0" collapsed="false">
      <c r="A12" s="24" t="s">
        <v>47</v>
      </c>
      <c r="B12" s="25" t="s">
        <v>48</v>
      </c>
      <c r="C12" s="25" t="s">
        <v>49</v>
      </c>
      <c r="D12" s="26" t="n">
        <v>9892</v>
      </c>
      <c r="E12" s="8" t="n">
        <v>402</v>
      </c>
      <c r="F12" s="9" t="n">
        <v>909</v>
      </c>
      <c r="G12" s="10" t="n">
        <v>708</v>
      </c>
      <c r="H12" s="11" t="n">
        <v>2019</v>
      </c>
      <c r="I12" s="27" t="n">
        <v>0.2041</v>
      </c>
      <c r="J12" s="28" t="s">
        <v>44</v>
      </c>
      <c r="K12" s="28" t="s">
        <v>50</v>
      </c>
      <c r="L12" s="25" t="s">
        <v>51</v>
      </c>
      <c r="M12" s="29" t="s">
        <v>52</v>
      </c>
      <c r="N12" s="25" t="s">
        <v>53</v>
      </c>
    </row>
    <row r="13" customFormat="false" ht="18" hidden="false" customHeight="true" outlineLevel="0" collapsed="false">
      <c r="A13" s="30" t="s">
        <v>54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customFormat="false" ht="51.75" hidden="false" customHeight="true" outlineLevel="0" collapsed="false">
      <c r="A14" s="31" t="s">
        <v>55</v>
      </c>
      <c r="B14" s="32" t="s">
        <v>56</v>
      </c>
      <c r="C14" s="32" t="s">
        <v>57</v>
      </c>
      <c r="D14" s="33" t="n">
        <v>4498</v>
      </c>
      <c r="E14" s="8" t="n">
        <v>0</v>
      </c>
      <c r="F14" s="9" t="n">
        <v>154</v>
      </c>
      <c r="G14" s="10" t="n">
        <v>312</v>
      </c>
      <c r="H14" s="11" t="n">
        <v>466</v>
      </c>
      <c r="I14" s="34" t="n">
        <v>0.1036</v>
      </c>
      <c r="J14" s="35" t="s">
        <v>58</v>
      </c>
      <c r="K14" s="35" t="s">
        <v>59</v>
      </c>
      <c r="L14" s="32" t="s">
        <v>60</v>
      </c>
      <c r="M14" s="36" t="s">
        <v>61</v>
      </c>
      <c r="N14" s="32" t="s">
        <v>62</v>
      </c>
    </row>
    <row r="15" customFormat="false" ht="18" hidden="false" customHeight="true" outlineLevel="0" collapsed="false">
      <c r="A15" s="37" t="s">
        <v>63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customFormat="false" ht="51.75" hidden="false" customHeight="true" outlineLevel="0" collapsed="false">
      <c r="A16" s="24" t="s">
        <v>64</v>
      </c>
      <c r="B16" s="25" t="s">
        <v>65</v>
      </c>
      <c r="C16" s="25" t="s">
        <v>66</v>
      </c>
      <c r="D16" s="26" t="n">
        <v>3502</v>
      </c>
      <c r="E16" s="8" t="n">
        <v>21</v>
      </c>
      <c r="F16" s="9" t="n">
        <v>119</v>
      </c>
      <c r="G16" s="10" t="n">
        <v>511</v>
      </c>
      <c r="H16" s="11" t="n">
        <v>651</v>
      </c>
      <c r="I16" s="27" t="n">
        <v>0.1859</v>
      </c>
      <c r="J16" s="28" t="s">
        <v>67</v>
      </c>
      <c r="K16" s="28" t="s">
        <v>68</v>
      </c>
      <c r="L16" s="25" t="s">
        <v>69</v>
      </c>
      <c r="M16" s="29" t="s">
        <v>70</v>
      </c>
      <c r="N16" s="25" t="s">
        <v>71</v>
      </c>
    </row>
    <row r="17" customFormat="false" ht="18" hidden="false" customHeight="true" outlineLevel="0" collapsed="false">
      <c r="A17" s="38" t="s">
        <v>72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customFormat="false" ht="51.75" hidden="false" customHeight="true" outlineLevel="0" collapsed="false">
      <c r="A18" s="5" t="s">
        <v>73</v>
      </c>
      <c r="B18" s="6" t="s">
        <v>74</v>
      </c>
      <c r="C18" s="6" t="s">
        <v>75</v>
      </c>
      <c r="D18" s="7" t="n">
        <v>7090</v>
      </c>
      <c r="E18" s="8" t="n">
        <v>505</v>
      </c>
      <c r="F18" s="9" t="n">
        <v>965</v>
      </c>
      <c r="G18" s="10" t="n">
        <v>608</v>
      </c>
      <c r="H18" s="11" t="n">
        <v>2078</v>
      </c>
      <c r="I18" s="12" t="n">
        <v>0.2931</v>
      </c>
      <c r="J18" s="13" t="s">
        <v>44</v>
      </c>
      <c r="K18" s="13" t="s">
        <v>76</v>
      </c>
      <c r="L18" s="6" t="s">
        <v>77</v>
      </c>
      <c r="M18" s="14" t="s">
        <v>78</v>
      </c>
      <c r="N18" s="6" t="s">
        <v>79</v>
      </c>
    </row>
  </sheetData>
  <mergeCells count="9">
    <mergeCell ref="A1:N1"/>
    <mergeCell ref="A2:N2"/>
    <mergeCell ref="A4:N4"/>
    <mergeCell ref="A6:N6"/>
    <mergeCell ref="A8:N8"/>
    <mergeCell ref="A10:N10"/>
    <mergeCell ref="A13:N13"/>
    <mergeCell ref="A15:N15"/>
    <mergeCell ref="A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8"/>
  </cols>
  <sheetData>
    <row r="1" customFormat="false" ht="27.75" hidden="false" customHeight="true" outlineLevel="0" collapsed="false">
      <c r="A1" s="39" t="s">
        <v>80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19.5" hidden="false" customHeight="true" outlineLevel="0" collapsed="false">
      <c r="A2" s="40" t="s">
        <v>81</v>
      </c>
      <c r="B2" s="40"/>
      <c r="C2" s="40"/>
      <c r="D2" s="40"/>
      <c r="E2" s="40"/>
      <c r="F2" s="40"/>
      <c r="G2" s="40"/>
      <c r="H2" s="40"/>
      <c r="I2" s="40"/>
      <c r="J2" s="40"/>
    </row>
    <row r="3" customFormat="false" ht="30" hidden="false" customHeight="true" outlineLevel="0" collapsed="false">
      <c r="A3" s="3" t="s">
        <v>2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90</v>
      </c>
    </row>
    <row r="4" customFormat="false" ht="24" hidden="false" customHeight="true" outlineLevel="0" collapsed="false">
      <c r="A4" s="16" t="s">
        <v>91</v>
      </c>
      <c r="B4" s="17" t="s">
        <v>18</v>
      </c>
      <c r="C4" s="8" t="n">
        <v>796</v>
      </c>
      <c r="D4" s="9" t="n">
        <v>1880</v>
      </c>
      <c r="E4" s="10" t="n">
        <v>575</v>
      </c>
      <c r="F4" s="11" t="n">
        <v>3251</v>
      </c>
      <c r="G4" s="18" t="n">
        <v>4102</v>
      </c>
      <c r="H4" s="19" t="n">
        <v>0.7925</v>
      </c>
      <c r="I4" s="41" t="n">
        <f aca="false">C4/F4</f>
        <v>0.244847739157182</v>
      </c>
      <c r="J4" s="17" t="s">
        <v>92</v>
      </c>
    </row>
    <row r="5" customFormat="false" ht="24" hidden="false" customHeight="true" outlineLevel="0" collapsed="false">
      <c r="A5" s="16" t="s">
        <v>93</v>
      </c>
      <c r="B5" s="17" t="s">
        <v>18</v>
      </c>
      <c r="C5" s="8" t="n">
        <v>91</v>
      </c>
      <c r="D5" s="9" t="n">
        <v>1524</v>
      </c>
      <c r="E5" s="10" t="n">
        <v>1105</v>
      </c>
      <c r="F5" s="11" t="n">
        <v>2720</v>
      </c>
      <c r="G5" s="18" t="n">
        <v>5648</v>
      </c>
      <c r="H5" s="19" t="n">
        <v>0.4816</v>
      </c>
      <c r="I5" s="41" t="n">
        <f aca="false">C5/F5</f>
        <v>0.0334558823529412</v>
      </c>
      <c r="J5" s="17" t="s">
        <v>94</v>
      </c>
    </row>
    <row r="6" customFormat="false" ht="24" hidden="false" customHeight="true" outlineLevel="0" collapsed="false">
      <c r="A6" s="5" t="s">
        <v>95</v>
      </c>
      <c r="B6" s="6" t="s">
        <v>34</v>
      </c>
      <c r="C6" s="8" t="n">
        <v>692</v>
      </c>
      <c r="D6" s="9" t="n">
        <v>1088</v>
      </c>
      <c r="E6" s="10" t="n">
        <v>789</v>
      </c>
      <c r="F6" s="11" t="n">
        <v>2569</v>
      </c>
      <c r="G6" s="7" t="n">
        <v>5800</v>
      </c>
      <c r="H6" s="12" t="n">
        <v>0.4429</v>
      </c>
      <c r="I6" s="42" t="n">
        <f aca="false">C6/F6</f>
        <v>0.269365511872324</v>
      </c>
      <c r="J6" s="6" t="s">
        <v>96</v>
      </c>
    </row>
    <row r="7" customFormat="false" ht="24" hidden="false" customHeight="true" outlineLevel="0" collapsed="false">
      <c r="A7" s="5" t="s">
        <v>97</v>
      </c>
      <c r="B7" s="6" t="s">
        <v>34</v>
      </c>
      <c r="C7" s="8" t="n">
        <v>237</v>
      </c>
      <c r="D7" s="9" t="n">
        <v>1795</v>
      </c>
      <c r="E7" s="10" t="n">
        <v>1071</v>
      </c>
      <c r="F7" s="11" t="n">
        <v>3103</v>
      </c>
      <c r="G7" s="7" t="n">
        <v>8758</v>
      </c>
      <c r="H7" s="12" t="n">
        <v>0.3543</v>
      </c>
      <c r="I7" s="42" t="n">
        <f aca="false">C7/F7</f>
        <v>0.0763776990009668</v>
      </c>
      <c r="J7" s="6" t="s">
        <v>98</v>
      </c>
    </row>
    <row r="8" customFormat="false" ht="24" hidden="false" customHeight="true" outlineLevel="0" collapsed="false">
      <c r="A8" s="5" t="s">
        <v>99</v>
      </c>
      <c r="B8" s="6" t="s">
        <v>74</v>
      </c>
      <c r="C8" s="8" t="n">
        <v>505</v>
      </c>
      <c r="D8" s="9" t="n">
        <v>965</v>
      </c>
      <c r="E8" s="10" t="n">
        <v>608</v>
      </c>
      <c r="F8" s="11" t="n">
        <v>2078</v>
      </c>
      <c r="G8" s="7" t="n">
        <v>7090</v>
      </c>
      <c r="H8" s="12" t="n">
        <v>0.2931</v>
      </c>
      <c r="I8" s="42" t="n">
        <f aca="false">C8/F8</f>
        <v>0.243022136669875</v>
      </c>
      <c r="J8" s="6" t="s">
        <v>100</v>
      </c>
    </row>
    <row r="9" customFormat="false" ht="24" hidden="false" customHeight="true" outlineLevel="0" collapsed="false">
      <c r="A9" s="24" t="s">
        <v>101</v>
      </c>
      <c r="B9" s="25" t="s">
        <v>48</v>
      </c>
      <c r="C9" s="8" t="n">
        <v>402</v>
      </c>
      <c r="D9" s="9" t="n">
        <v>909</v>
      </c>
      <c r="E9" s="10" t="n">
        <v>708</v>
      </c>
      <c r="F9" s="11" t="n">
        <v>2019</v>
      </c>
      <c r="G9" s="26" t="n">
        <v>9892</v>
      </c>
      <c r="H9" s="27" t="n">
        <v>0.2041</v>
      </c>
      <c r="I9" s="43" t="n">
        <f aca="false">C9/F9</f>
        <v>0.199108469539376</v>
      </c>
      <c r="J9" s="25" t="s">
        <v>98</v>
      </c>
    </row>
    <row r="10" customFormat="false" ht="24" hidden="false" customHeight="true" outlineLevel="0" collapsed="false">
      <c r="A10" s="31" t="s">
        <v>102</v>
      </c>
      <c r="B10" s="32" t="s">
        <v>65</v>
      </c>
      <c r="C10" s="8" t="n">
        <v>21</v>
      </c>
      <c r="D10" s="9" t="n">
        <v>119</v>
      </c>
      <c r="E10" s="10" t="n">
        <v>511</v>
      </c>
      <c r="F10" s="11" t="n">
        <v>651</v>
      </c>
      <c r="G10" s="33" t="n">
        <v>3502</v>
      </c>
      <c r="H10" s="34" t="n">
        <v>0.1859</v>
      </c>
      <c r="I10" s="44" t="n">
        <f aca="false">C10/F10</f>
        <v>0.032258064516129</v>
      </c>
      <c r="J10" s="32" t="s">
        <v>103</v>
      </c>
    </row>
    <row r="11" customFormat="false" ht="24" hidden="false" customHeight="true" outlineLevel="0" collapsed="false">
      <c r="A11" s="31" t="s">
        <v>104</v>
      </c>
      <c r="B11" s="32" t="s">
        <v>56</v>
      </c>
      <c r="C11" s="8" t="n">
        <v>0</v>
      </c>
      <c r="D11" s="9" t="n">
        <v>154</v>
      </c>
      <c r="E11" s="10" t="n">
        <v>312</v>
      </c>
      <c r="F11" s="11" t="n">
        <v>466</v>
      </c>
      <c r="G11" s="33" t="n">
        <v>4498</v>
      </c>
      <c r="H11" s="34" t="n">
        <v>0.1036</v>
      </c>
      <c r="I11" s="44" t="n">
        <f aca="false">C11/F11</f>
        <v>0</v>
      </c>
      <c r="J11" s="32" t="s">
        <v>105</v>
      </c>
    </row>
    <row r="12" customFormat="false" ht="21.75" hidden="false" customHeight="true" outlineLevel="0" collapsed="false">
      <c r="A12" s="45" t="s">
        <v>106</v>
      </c>
      <c r="B12" s="45"/>
      <c r="C12" s="46" t="n">
        <f aca="false">SUM(C4:C11)</f>
        <v>2744</v>
      </c>
      <c r="D12" s="46" t="n">
        <f aca="false">SUM(D4:D11)</f>
        <v>8434</v>
      </c>
      <c r="E12" s="46" t="n">
        <f aca="false">SUM(E4:E11)</f>
        <v>5679</v>
      </c>
      <c r="F12" s="46" t="n">
        <f aca="false">SUM(F4:F11)</f>
        <v>16857</v>
      </c>
      <c r="G12" s="46" t="n">
        <f aca="false">SUM(G4:G11)</f>
        <v>49290</v>
      </c>
      <c r="H12" s="47" t="n">
        <f aca="false">AVERAGE(H4:H11)</f>
        <v>0.35725</v>
      </c>
    </row>
    <row r="14" customFormat="false" ht="15" hidden="false" customHeight="true" outlineLevel="0" collapsed="false">
      <c r="A14" s="48" t="s">
        <v>107</v>
      </c>
      <c r="B14" s="48"/>
      <c r="C14" s="48"/>
      <c r="D14" s="48"/>
      <c r="E14" s="48"/>
      <c r="F14" s="48"/>
      <c r="G14" s="48"/>
      <c r="H14" s="48"/>
      <c r="I14" s="48"/>
      <c r="J14" s="48"/>
    </row>
    <row r="15" customFormat="false" ht="18" hidden="false" customHeight="true" outlineLevel="0" collapsed="false">
      <c r="A15" s="49" t="s">
        <v>108</v>
      </c>
      <c r="B15" s="50" t="s">
        <v>109</v>
      </c>
      <c r="C15" s="50"/>
      <c r="D15" s="50"/>
      <c r="E15" s="50"/>
      <c r="F15" s="50"/>
      <c r="G15" s="50"/>
      <c r="H15" s="50"/>
      <c r="I15" s="50"/>
      <c r="J15" s="50"/>
    </row>
    <row r="16" customFormat="false" ht="18" hidden="false" customHeight="true" outlineLevel="0" collapsed="false">
      <c r="A16" s="49" t="s">
        <v>110</v>
      </c>
      <c r="B16" s="50" t="s">
        <v>111</v>
      </c>
      <c r="C16" s="50"/>
      <c r="D16" s="50"/>
      <c r="E16" s="50"/>
      <c r="F16" s="50"/>
      <c r="G16" s="50"/>
      <c r="H16" s="50"/>
      <c r="I16" s="50"/>
      <c r="J16" s="50"/>
    </row>
    <row r="17" customFormat="false" ht="18" hidden="false" customHeight="true" outlineLevel="0" collapsed="false">
      <c r="A17" s="49" t="s">
        <v>112</v>
      </c>
      <c r="B17" s="50" t="s">
        <v>113</v>
      </c>
      <c r="C17" s="50"/>
      <c r="D17" s="50"/>
      <c r="E17" s="50"/>
      <c r="F17" s="50"/>
      <c r="G17" s="50"/>
      <c r="H17" s="50"/>
      <c r="I17" s="50"/>
      <c r="J17" s="50"/>
    </row>
    <row r="18" customFormat="false" ht="18" hidden="false" customHeight="true" outlineLevel="0" collapsed="false">
      <c r="A18" s="49" t="s">
        <v>114</v>
      </c>
      <c r="B18" s="50" t="s">
        <v>115</v>
      </c>
      <c r="C18" s="50"/>
      <c r="D18" s="50"/>
      <c r="E18" s="50"/>
      <c r="F18" s="50"/>
      <c r="G18" s="50"/>
      <c r="H18" s="50"/>
      <c r="I18" s="50"/>
      <c r="J18" s="50"/>
    </row>
    <row r="19" customFormat="false" ht="18" hidden="false" customHeight="true" outlineLevel="0" collapsed="false">
      <c r="A19" s="49" t="s">
        <v>116</v>
      </c>
      <c r="B19" s="50" t="s">
        <v>117</v>
      </c>
      <c r="C19" s="50"/>
      <c r="D19" s="50"/>
      <c r="E19" s="50"/>
      <c r="F19" s="50"/>
      <c r="G19" s="50"/>
      <c r="H19" s="50"/>
      <c r="I19" s="50"/>
      <c r="J19" s="50"/>
    </row>
    <row r="20" customFormat="false" ht="18" hidden="false" customHeight="true" outlineLevel="0" collapsed="false">
      <c r="A20" s="49" t="s">
        <v>118</v>
      </c>
      <c r="B20" s="50" t="s">
        <v>119</v>
      </c>
      <c r="C20" s="50"/>
      <c r="D20" s="50"/>
      <c r="E20" s="50"/>
      <c r="F20" s="50"/>
      <c r="G20" s="50"/>
      <c r="H20" s="50"/>
      <c r="I20" s="50"/>
      <c r="J20" s="50"/>
    </row>
    <row r="21" customFormat="false" ht="18" hidden="false" customHeight="true" outlineLevel="0" collapsed="false">
      <c r="A21" s="49" t="s">
        <v>120</v>
      </c>
      <c r="B21" s="50" t="s">
        <v>121</v>
      </c>
      <c r="C21" s="50"/>
      <c r="D21" s="50"/>
      <c r="E21" s="50"/>
      <c r="F21" s="50"/>
      <c r="G21" s="50"/>
      <c r="H21" s="50"/>
      <c r="I21" s="50"/>
      <c r="J21" s="50"/>
    </row>
  </sheetData>
  <mergeCells count="11">
    <mergeCell ref="A1:J1"/>
    <mergeCell ref="A2:J2"/>
    <mergeCell ref="A12:B12"/>
    <mergeCell ref="A14:J14"/>
    <mergeCell ref="B15:J15"/>
    <mergeCell ref="B16:J16"/>
    <mergeCell ref="B17:J17"/>
    <mergeCell ref="B18:J18"/>
    <mergeCell ref="B19:J19"/>
    <mergeCell ref="B20:J20"/>
    <mergeCell ref="B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2026-02-12T06:47:21Z</dcterms:created>
  <dc:creator>openpyxl</dc:creator>
  <dc:description/>
  <dc:language>en-US</dc:language>
  <cp:lastModifiedBy/>
  <dcterms:modified xsi:type="dcterms:W3CDTF">2026-02-12T06:47:21Z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