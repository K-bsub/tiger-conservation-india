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de_Format" sheetId="1" state="visible" r:id="rId3"/>
    <sheet name="Long_Format" sheetId="2" state="visible" r:id="rId4"/>
    <sheet name="Growth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<sst xmlns="http://schemas.openxmlformats.org/spreadsheetml/2006/main" count="217" uniqueCount="61">
  <si>
    <t xml:space="preserve">Tiger Population Data — India Featured Reserves (2006–2022)</t>
  </si>
  <si>
    <t xml:space="preserve">Reserve_Name</t>
  </si>
  <si>
    <t xml:space="preserve">State</t>
  </si>
  <si>
    <t xml:space="preserve">Reserve_ID</t>
  </si>
  <si>
    <t xml:space="preserve">Baseline_Year</t>
  </si>
  <si>
    <t xml:space="preserve">Year_2006</t>
  </si>
  <si>
    <t xml:space="preserve">Year_2010</t>
  </si>
  <si>
    <t xml:space="preserve">Year_2014</t>
  </si>
  <si>
    <t xml:space="preserve">Year_2018</t>
  </si>
  <si>
    <t xml:space="preserve">Year_2022</t>
  </si>
  <si>
    <t xml:space="preserve">Abs_Change</t>
  </si>
  <si>
    <t xml:space="preserve">Pct_Change</t>
  </si>
  <si>
    <t xml:space="preserve">AAGR</t>
  </si>
  <si>
    <t xml:space="preserve">Notes</t>
  </si>
  <si>
    <t xml:space="preserve">Bandipur National Park</t>
  </si>
  <si>
    <t xml:space="preserve">Karnataka</t>
  </si>
  <si>
    <t xml:space="preserve">2006/2010 from Singh &amp; Sen (2015); cross-validated vs NTCA 2014</t>
  </si>
  <si>
    <t xml:space="preserve">Nagarahole National Park</t>
  </si>
  <si>
    <t xml:space="preserve">Kanha National Park</t>
  </si>
  <si>
    <t xml:space="preserve">Madhya Pradesh</t>
  </si>
  <si>
    <t xml:space="preserve">Pench Tiger Reserve (Combined)</t>
  </si>
  <si>
    <t xml:space="preserve">MP / Maharashtra</t>
  </si>
  <si>
    <t xml:space="preserve">MP+MH combined landscape; NTCA does not report state split consistently</t>
  </si>
  <si>
    <t xml:space="preserve">Ranthambore Tiger Reserve</t>
  </si>
  <si>
    <t xml:space="preserve">Rajasthan</t>
  </si>
  <si>
    <t xml:space="preserve">Reserve_ID 5 intentionally unused (was Pench MH before consolidation)</t>
  </si>
  <si>
    <t xml:space="preserve">Kaziranga National Park</t>
  </si>
  <si>
    <t xml:space="preserve">Assam</t>
  </si>
  <si>
    <t xml:space="preserve">No 2006 survey conducted; baseline = 2010</t>
  </si>
  <si>
    <t xml:space="preserve">Jim Corbett National Park</t>
  </si>
  <si>
    <t xml:space="preserve">Uttarakhand</t>
  </si>
  <si>
    <t xml:space="preserve">Field Glossary</t>
  </si>
  <si>
    <t xml:space="preserve">Official/standardized reserve name (matches Reserve_Name_Std in ArcGIS)</t>
  </si>
  <si>
    <t xml:space="preserve">Unique integer key (1–8); ID 5 intentionally unused after Pench consolidation</t>
  </si>
  <si>
    <t xml:space="preserve">First census year with data; 2010 for Kaziranga, 2006 for all others</t>
  </si>
  <si>
    <t xml:space="preserve">Year_XXXX</t>
  </si>
  <si>
    <t xml:space="preserve">NTCA point estimate (midpoint of confidence interval) for that census year</t>
  </si>
  <si>
    <t xml:space="preserve">Population: final census minus baseline census</t>
  </si>
  <si>
    <t xml:space="preserve">% change from baseline to 2022</t>
  </si>
  <si>
    <t xml:space="preserve">Average Annual Growth Rate (%): compound rate over census window</t>
  </si>
  <si>
    <t xml:space="preserve">NULL (Kaziranga 2006)</t>
  </si>
  <si>
    <t xml:space="preserve">No NTCA survey conducted in 2006 at Kaziranga; cell left blank intentionally</t>
  </si>
  <si>
    <t xml:space="preserve">Tiger Population — Long Format  (one row per reserve × census year)</t>
  </si>
  <si>
    <t xml:space="preserve">Census_Year</t>
  </si>
  <si>
    <t xml:space="preserve">Population</t>
  </si>
  <si>
    <t xml:space="preserve">Is_Baseline_Year</t>
  </si>
  <si>
    <t xml:space="preserve">Data_Available</t>
  </si>
  <si>
    <t xml:space="preserve">Yes</t>
  </si>
  <si>
    <t xml:space="preserve">No</t>
  </si>
  <si>
    <t xml:space="preserve">Usage Notes</t>
  </si>
  <si>
    <t xml:space="preserve">• This sheet is optimised for ArcGIS Pro table joins and Excel/Python chart generation.</t>
  </si>
  <si>
    <t xml:space="preserve">• Join to Project_Reserves_Clean on Reserve_ID (integer) or Reserve_Name (text).</t>
  </si>
  <si>
    <t xml:space="preserve">• Filter Data_Available = 'Yes' before running population trend charts.</t>
  </si>
  <si>
    <t xml:space="preserve">• Filter Is_Baseline_Year = 'Yes' to highlight the first census year per reserve.</t>
  </si>
  <si>
    <t xml:space="preserve">• Kaziranga 2006 row retained with NULL population so the temporal record is complete.</t>
  </si>
  <si>
    <t xml:space="preserve">Growth Summary — Quick Reference</t>
  </si>
  <si>
    <t xml:space="preserve">Baseline</t>
  </si>
  <si>
    <t xml:space="preserve">Pop_Baseline</t>
  </si>
  <si>
    <t xml:space="preserve">Pop_2022</t>
  </si>
  <si>
    <t xml:space="preserve">Rank_PctChange</t>
  </si>
  <si>
    <t xml:space="preserve">* Kaziranga ranked separately — 2010-2022 window vs 2006-2022 for all others; not directly comparable.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</si>
</sst>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1616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6161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9" min="5" style="0" width="10"/>
    <col collapsed="false" customWidth="true" hidden="false" outlineLevel="0" max="12" min="10" style="0" width="12"/>
    <col collapsed="false" customWidth="true" hidden="false" outlineLevel="0" max="13" min="13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22.35" hidden="false" customHeight="false" outlineLevel="0" collapsed="false">
      <c r="A3" s="3" t="s">
        <v>14</v>
      </c>
      <c r="B3" s="3" t="s">
        <v>15</v>
      </c>
      <c r="C3" s="4" t="n">
        <v>1</v>
      </c>
      <c r="D3" s="4" t="n">
        <v>2006</v>
      </c>
      <c r="E3" s="4" t="n">
        <v>68</v>
      </c>
      <c r="F3" s="4" t="n">
        <v>100</v>
      </c>
      <c r="G3" s="4" t="n">
        <v>120</v>
      </c>
      <c r="H3" s="4" t="n">
        <v>126</v>
      </c>
      <c r="I3" s="4" t="n">
        <v>150</v>
      </c>
      <c r="J3" s="4" t="n">
        <f aca="false">I3-E3</f>
        <v>82</v>
      </c>
      <c r="K3" s="5" t="n">
        <f aca="false">IF(E3=0,"",((I3-E3)/E3)*100)</f>
        <v>120.588235294118</v>
      </c>
      <c r="L3" s="6" t="n">
        <f aca="false">IF(E3=0,"",(POWER(I3/E3,1/16)-1)*100)</f>
        <v>5.06883011457091</v>
      </c>
      <c r="M3" s="7" t="s">
        <v>16</v>
      </c>
    </row>
    <row r="4" customFormat="false" ht="22.35" hidden="false" customHeight="false" outlineLevel="0" collapsed="false">
      <c r="A4" s="8" t="s">
        <v>17</v>
      </c>
      <c r="B4" s="8" t="s">
        <v>15</v>
      </c>
      <c r="C4" s="9" t="n">
        <v>2</v>
      </c>
      <c r="D4" s="9" t="n">
        <v>2006</v>
      </c>
      <c r="E4" s="9" t="n">
        <v>78</v>
      </c>
      <c r="F4" s="9" t="n">
        <v>78</v>
      </c>
      <c r="G4" s="9" t="n">
        <v>101</v>
      </c>
      <c r="H4" s="9" t="n">
        <v>127</v>
      </c>
      <c r="I4" s="9" t="n">
        <v>141</v>
      </c>
      <c r="J4" s="9" t="n">
        <f aca="false">I4-E4</f>
        <v>63</v>
      </c>
      <c r="K4" s="10" t="n">
        <f aca="false">IF(E4=0,"",((I4-E4)/E4)*100)</f>
        <v>80.7692307692308</v>
      </c>
      <c r="L4" s="11" t="n">
        <f aca="false">IF(E4=0,"",(POWER(I4/E4,1/16)-1)*100)</f>
        <v>3.76963326205202</v>
      </c>
      <c r="M4" s="12" t="s">
        <v>16</v>
      </c>
    </row>
    <row r="5" customFormat="false" ht="15" hidden="false" customHeight="false" outlineLevel="0" collapsed="false">
      <c r="A5" s="3" t="s">
        <v>18</v>
      </c>
      <c r="B5" s="3" t="s">
        <v>19</v>
      </c>
      <c r="C5" s="4" t="n">
        <v>3</v>
      </c>
      <c r="D5" s="4" t="n">
        <v>2006</v>
      </c>
      <c r="E5" s="4" t="n">
        <v>89</v>
      </c>
      <c r="F5" s="4" t="n">
        <v>60</v>
      </c>
      <c r="G5" s="4" t="n">
        <v>80</v>
      </c>
      <c r="H5" s="4" t="n">
        <v>88</v>
      </c>
      <c r="I5" s="4" t="n">
        <v>105</v>
      </c>
      <c r="J5" s="4" t="n">
        <f aca="false">I5-E5</f>
        <v>16</v>
      </c>
      <c r="K5" s="5" t="n">
        <f aca="false">IF(E5=0,"",((I5-E5)/E5)*100)</f>
        <v>17.9775280898876</v>
      </c>
      <c r="L5" s="6" t="n">
        <f aca="false">IF(E5=0,"",(POWER(I5/E5,1/16)-1)*100)</f>
        <v>1.0386315965019</v>
      </c>
      <c r="M5" s="7"/>
    </row>
    <row r="6" customFormat="false" ht="22.35" hidden="false" customHeight="false" outlineLevel="0" collapsed="false">
      <c r="A6" s="8" t="s">
        <v>20</v>
      </c>
      <c r="B6" s="8" t="s">
        <v>21</v>
      </c>
      <c r="C6" s="9" t="n">
        <v>4</v>
      </c>
      <c r="D6" s="9" t="n">
        <v>2006</v>
      </c>
      <c r="E6" s="9" t="n">
        <v>33</v>
      </c>
      <c r="F6" s="9" t="n">
        <v>65</v>
      </c>
      <c r="G6" s="9" t="n">
        <v>43</v>
      </c>
      <c r="H6" s="9" t="n">
        <v>61</v>
      </c>
      <c r="I6" s="9" t="n">
        <v>77</v>
      </c>
      <c r="J6" s="9" t="n">
        <f aca="false">I6-E6</f>
        <v>44</v>
      </c>
      <c r="K6" s="10" t="n">
        <f aca="false">IF(E6=0,"",((I6-E6)/E6)*100)</f>
        <v>133.333333333333</v>
      </c>
      <c r="L6" s="11" t="n">
        <f aca="false">IF(E6=0,"",(POWER(I6/E6,1/16)-1)*100)</f>
        <v>5.438337383322</v>
      </c>
      <c r="M6" s="12" t="s">
        <v>22</v>
      </c>
    </row>
    <row r="7" customFormat="false" ht="22.35" hidden="false" customHeight="false" outlineLevel="0" collapsed="false">
      <c r="A7" s="3" t="s">
        <v>23</v>
      </c>
      <c r="B7" s="3" t="s">
        <v>24</v>
      </c>
      <c r="C7" s="4" t="n">
        <v>6</v>
      </c>
      <c r="D7" s="4" t="n">
        <v>2006</v>
      </c>
      <c r="E7" s="4" t="n">
        <v>32</v>
      </c>
      <c r="F7" s="4" t="n">
        <v>31</v>
      </c>
      <c r="G7" s="4" t="n">
        <v>37</v>
      </c>
      <c r="H7" s="4" t="n">
        <v>53</v>
      </c>
      <c r="I7" s="4" t="n">
        <v>57</v>
      </c>
      <c r="J7" s="4" t="n">
        <f aca="false">I7-E7</f>
        <v>25</v>
      </c>
      <c r="K7" s="5" t="n">
        <f aca="false">IF(E7=0,"",((I7-E7)/E7)*100)</f>
        <v>78.125</v>
      </c>
      <c r="L7" s="6" t="n">
        <f aca="false">IF(E7=0,"",(POWER(I7/E7,1/16)-1)*100)</f>
        <v>3.67410737975089</v>
      </c>
      <c r="M7" s="7" t="s">
        <v>25</v>
      </c>
    </row>
    <row r="8" customFormat="false" ht="15" hidden="false" customHeight="false" outlineLevel="0" collapsed="false">
      <c r="A8" s="8" t="s">
        <v>26</v>
      </c>
      <c r="B8" s="8" t="s">
        <v>27</v>
      </c>
      <c r="C8" s="9" t="n">
        <v>7</v>
      </c>
      <c r="D8" s="9" t="n">
        <v>2010</v>
      </c>
      <c r="E8" s="13"/>
      <c r="F8" s="9" t="n">
        <v>106</v>
      </c>
      <c r="G8" s="9" t="n">
        <v>103</v>
      </c>
      <c r="H8" s="9" t="n">
        <v>104</v>
      </c>
      <c r="I8" s="9" t="n">
        <v>104</v>
      </c>
      <c r="J8" s="9" t="n">
        <f aca="false">I8-F8</f>
        <v>-2</v>
      </c>
      <c r="K8" s="10" t="n">
        <f aca="false">IF(F8=0,"",((I8-F8)/F8)*100)</f>
        <v>-1.88679245283019</v>
      </c>
      <c r="L8" s="11" t="n">
        <f aca="false">IF(F8=0,"",(POWER(I8/F8,1/12)-1)*100)</f>
        <v>-0.15860904078826</v>
      </c>
      <c r="M8" s="12" t="s">
        <v>28</v>
      </c>
    </row>
    <row r="9" customFormat="false" ht="15" hidden="false" customHeight="false" outlineLevel="0" collapsed="false">
      <c r="A9" s="3" t="s">
        <v>29</v>
      </c>
      <c r="B9" s="3" t="s">
        <v>30</v>
      </c>
      <c r="C9" s="4" t="n">
        <v>8</v>
      </c>
      <c r="D9" s="4" t="n">
        <v>2006</v>
      </c>
      <c r="E9" s="4" t="n">
        <v>164</v>
      </c>
      <c r="F9" s="4" t="n">
        <v>214</v>
      </c>
      <c r="G9" s="4" t="n">
        <v>215</v>
      </c>
      <c r="H9" s="4" t="n">
        <v>231</v>
      </c>
      <c r="I9" s="4" t="n">
        <v>260</v>
      </c>
      <c r="J9" s="4" t="n">
        <f aca="false">I9-E9</f>
        <v>96</v>
      </c>
      <c r="K9" s="5" t="n">
        <f aca="false">IF(E9=0,"",((I9-E9)/E9)*100)</f>
        <v>58.5365853658537</v>
      </c>
      <c r="L9" s="6" t="n">
        <f aca="false">IF(E9=0,"",(POWER(I9/E9,1/16)-1)*100)</f>
        <v>2.92197081068994</v>
      </c>
      <c r="M9" s="7"/>
    </row>
    <row r="12" customFormat="false" ht="15" hidden="false" customHeight="false" outlineLevel="0" collapsed="false">
      <c r="A12" s="14" t="s">
        <v>31</v>
      </c>
    </row>
    <row r="13" customFormat="false" ht="15" hidden="false" customHeight="false" outlineLevel="0" collapsed="false">
      <c r="A13" s="15" t="s">
        <v>1</v>
      </c>
      <c r="B13" s="16" t="s">
        <v>32</v>
      </c>
      <c r="C13" s="16"/>
      <c r="D13" s="16"/>
      <c r="E13" s="16"/>
      <c r="F13" s="16"/>
      <c r="G13" s="16"/>
      <c r="H13" s="16"/>
      <c r="I13" s="16"/>
    </row>
    <row r="14" customFormat="false" ht="15" hidden="false" customHeight="false" outlineLevel="0" collapsed="false">
      <c r="A14" s="15" t="s">
        <v>3</v>
      </c>
      <c r="B14" s="16" t="s">
        <v>33</v>
      </c>
      <c r="C14" s="16"/>
      <c r="D14" s="16"/>
      <c r="E14" s="16"/>
      <c r="F14" s="16"/>
      <c r="G14" s="16"/>
      <c r="H14" s="16"/>
      <c r="I14" s="16"/>
    </row>
    <row r="15" customFormat="false" ht="15" hidden="false" customHeight="false" outlineLevel="0" collapsed="false">
      <c r="A15" s="15" t="s">
        <v>4</v>
      </c>
      <c r="B15" s="16" t="s">
        <v>34</v>
      </c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A16" s="15" t="s">
        <v>35</v>
      </c>
      <c r="B16" s="16" t="s">
        <v>36</v>
      </c>
      <c r="C16" s="16"/>
      <c r="D16" s="16"/>
      <c r="E16" s="16"/>
      <c r="F16" s="16"/>
      <c r="G16" s="16"/>
      <c r="H16" s="16"/>
      <c r="I16" s="16"/>
    </row>
    <row r="17" customFormat="false" ht="15" hidden="false" customHeight="false" outlineLevel="0" collapsed="false">
      <c r="A17" s="15" t="s">
        <v>10</v>
      </c>
      <c r="B17" s="16" t="s">
        <v>37</v>
      </c>
      <c r="C17" s="16"/>
      <c r="D17" s="16"/>
      <c r="E17" s="16"/>
      <c r="F17" s="16"/>
      <c r="G17" s="16"/>
      <c r="H17" s="16"/>
      <c r="I17" s="16"/>
    </row>
    <row r="18" customFormat="false" ht="15" hidden="false" customHeight="false" outlineLevel="0" collapsed="false">
      <c r="A18" s="15" t="s">
        <v>11</v>
      </c>
      <c r="B18" s="16" t="s">
        <v>38</v>
      </c>
      <c r="C18" s="16"/>
      <c r="D18" s="16"/>
      <c r="E18" s="16"/>
      <c r="F18" s="16"/>
      <c r="G18" s="16"/>
      <c r="H18" s="16"/>
      <c r="I18" s="16"/>
    </row>
    <row r="19" customFormat="false" ht="15" hidden="false" customHeight="false" outlineLevel="0" collapsed="false">
      <c r="A19" s="15" t="s">
        <v>12</v>
      </c>
      <c r="B19" s="16" t="s">
        <v>39</v>
      </c>
      <c r="C19" s="16"/>
      <c r="D19" s="16"/>
      <c r="E19" s="16"/>
      <c r="F19" s="16"/>
      <c r="G19" s="16"/>
      <c r="H19" s="16"/>
      <c r="I19" s="16"/>
    </row>
    <row r="20" customFormat="false" ht="15" hidden="false" customHeight="false" outlineLevel="0" collapsed="false">
      <c r="A20" s="15" t="s">
        <v>40</v>
      </c>
      <c r="B20" s="16" t="s">
        <v>41</v>
      </c>
      <c r="C20" s="16"/>
      <c r="D20" s="16"/>
      <c r="E20" s="16"/>
      <c r="F20" s="16"/>
      <c r="G20" s="16"/>
      <c r="H20" s="16"/>
      <c r="I20" s="16"/>
    </row>
  </sheetData>
  <mergeCells count="9">
    <mergeCell ref="A1:M1"/>
    <mergeCell ref="B13:I13"/>
    <mergeCell ref="B14:I14"/>
    <mergeCell ref="B15:I15"/>
    <mergeCell ref="B16:I16"/>
    <mergeCell ref="B17:I17"/>
    <mergeCell ref="B18:I18"/>
    <mergeCell ref="B19:I19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43</v>
      </c>
      <c r="F2" s="2" t="s">
        <v>44</v>
      </c>
      <c r="G2" s="2" t="s">
        <v>45</v>
      </c>
      <c r="H2" s="2" t="s">
        <v>46</v>
      </c>
    </row>
    <row r="3" customFormat="false" ht="15" hidden="false" customHeight="false" outlineLevel="0" collapsed="false">
      <c r="A3" s="3" t="s">
        <v>14</v>
      </c>
      <c r="B3" s="4" t="s">
        <v>15</v>
      </c>
      <c r="C3" s="4" t="n">
        <v>1</v>
      </c>
      <c r="D3" s="4" t="n">
        <v>2006</v>
      </c>
      <c r="E3" s="4" t="n">
        <v>2006</v>
      </c>
      <c r="F3" s="4" t="n">
        <v>68</v>
      </c>
      <c r="G3" s="4" t="s">
        <v>47</v>
      </c>
      <c r="H3" s="4" t="s">
        <v>47</v>
      </c>
    </row>
    <row r="4" customFormat="false" ht="15" hidden="false" customHeight="false" outlineLevel="0" collapsed="false">
      <c r="A4" s="3" t="s">
        <v>14</v>
      </c>
      <c r="B4" s="4" t="s">
        <v>15</v>
      </c>
      <c r="C4" s="4" t="n">
        <v>1</v>
      </c>
      <c r="D4" s="4" t="n">
        <v>2006</v>
      </c>
      <c r="E4" s="4" t="n">
        <v>2010</v>
      </c>
      <c r="F4" s="4" t="n">
        <v>100</v>
      </c>
      <c r="G4" s="4" t="s">
        <v>48</v>
      </c>
      <c r="H4" s="4" t="s">
        <v>47</v>
      </c>
    </row>
    <row r="5" customFormat="false" ht="15" hidden="false" customHeight="false" outlineLevel="0" collapsed="false">
      <c r="A5" s="3" t="s">
        <v>14</v>
      </c>
      <c r="B5" s="4" t="s">
        <v>15</v>
      </c>
      <c r="C5" s="4" t="n">
        <v>1</v>
      </c>
      <c r="D5" s="4" t="n">
        <v>2006</v>
      </c>
      <c r="E5" s="4" t="n">
        <v>2014</v>
      </c>
      <c r="F5" s="4" t="n">
        <v>120</v>
      </c>
      <c r="G5" s="4" t="s">
        <v>48</v>
      </c>
      <c r="H5" s="4" t="s">
        <v>47</v>
      </c>
    </row>
    <row r="6" customFormat="false" ht="15" hidden="false" customHeight="false" outlineLevel="0" collapsed="false">
      <c r="A6" s="3" t="s">
        <v>14</v>
      </c>
      <c r="B6" s="4" t="s">
        <v>15</v>
      </c>
      <c r="C6" s="4" t="n">
        <v>1</v>
      </c>
      <c r="D6" s="4" t="n">
        <v>2006</v>
      </c>
      <c r="E6" s="4" t="n">
        <v>2018</v>
      </c>
      <c r="F6" s="4" t="n">
        <v>126</v>
      </c>
      <c r="G6" s="4" t="s">
        <v>48</v>
      </c>
      <c r="H6" s="4" t="s">
        <v>47</v>
      </c>
    </row>
    <row r="7" customFormat="false" ht="15" hidden="false" customHeight="false" outlineLevel="0" collapsed="false">
      <c r="A7" s="3" t="s">
        <v>14</v>
      </c>
      <c r="B7" s="4" t="s">
        <v>15</v>
      </c>
      <c r="C7" s="4" t="n">
        <v>1</v>
      </c>
      <c r="D7" s="4" t="n">
        <v>2006</v>
      </c>
      <c r="E7" s="4" t="n">
        <v>2022</v>
      </c>
      <c r="F7" s="4" t="n">
        <v>150</v>
      </c>
      <c r="G7" s="4" t="s">
        <v>48</v>
      </c>
      <c r="H7" s="4" t="s">
        <v>47</v>
      </c>
    </row>
    <row r="8" customFormat="false" ht="15" hidden="false" customHeight="false" outlineLevel="0" collapsed="false">
      <c r="A8" s="8" t="s">
        <v>17</v>
      </c>
      <c r="B8" s="9" t="s">
        <v>15</v>
      </c>
      <c r="C8" s="9" t="n">
        <v>2</v>
      </c>
      <c r="D8" s="9" t="n">
        <v>2006</v>
      </c>
      <c r="E8" s="9" t="n">
        <v>2006</v>
      </c>
      <c r="F8" s="9" t="n">
        <v>78</v>
      </c>
      <c r="G8" s="9" t="s">
        <v>47</v>
      </c>
      <c r="H8" s="9" t="s">
        <v>47</v>
      </c>
    </row>
    <row r="9" customFormat="false" ht="15" hidden="false" customHeight="false" outlineLevel="0" collapsed="false">
      <c r="A9" s="8" t="s">
        <v>17</v>
      </c>
      <c r="B9" s="9" t="s">
        <v>15</v>
      </c>
      <c r="C9" s="9" t="n">
        <v>2</v>
      </c>
      <c r="D9" s="9" t="n">
        <v>2006</v>
      </c>
      <c r="E9" s="9" t="n">
        <v>2010</v>
      </c>
      <c r="F9" s="9" t="n">
        <v>78</v>
      </c>
      <c r="G9" s="9" t="s">
        <v>48</v>
      </c>
      <c r="H9" s="9" t="s">
        <v>47</v>
      </c>
    </row>
    <row r="10" customFormat="false" ht="15" hidden="false" customHeight="false" outlineLevel="0" collapsed="false">
      <c r="A10" s="8" t="s">
        <v>17</v>
      </c>
      <c r="B10" s="9" t="s">
        <v>15</v>
      </c>
      <c r="C10" s="9" t="n">
        <v>2</v>
      </c>
      <c r="D10" s="9" t="n">
        <v>2006</v>
      </c>
      <c r="E10" s="9" t="n">
        <v>2014</v>
      </c>
      <c r="F10" s="9" t="n">
        <v>101</v>
      </c>
      <c r="G10" s="9" t="s">
        <v>48</v>
      </c>
      <c r="H10" s="9" t="s">
        <v>47</v>
      </c>
    </row>
    <row r="11" customFormat="false" ht="15" hidden="false" customHeight="false" outlineLevel="0" collapsed="false">
      <c r="A11" s="8" t="s">
        <v>17</v>
      </c>
      <c r="B11" s="9" t="s">
        <v>15</v>
      </c>
      <c r="C11" s="9" t="n">
        <v>2</v>
      </c>
      <c r="D11" s="9" t="n">
        <v>2006</v>
      </c>
      <c r="E11" s="9" t="n">
        <v>2018</v>
      </c>
      <c r="F11" s="9" t="n">
        <v>127</v>
      </c>
      <c r="G11" s="9" t="s">
        <v>48</v>
      </c>
      <c r="H11" s="9" t="s">
        <v>47</v>
      </c>
    </row>
    <row r="12" customFormat="false" ht="15" hidden="false" customHeight="false" outlineLevel="0" collapsed="false">
      <c r="A12" s="8" t="s">
        <v>17</v>
      </c>
      <c r="B12" s="9" t="s">
        <v>15</v>
      </c>
      <c r="C12" s="9" t="n">
        <v>2</v>
      </c>
      <c r="D12" s="9" t="n">
        <v>2006</v>
      </c>
      <c r="E12" s="9" t="n">
        <v>2022</v>
      </c>
      <c r="F12" s="9" t="n">
        <v>141</v>
      </c>
      <c r="G12" s="9" t="s">
        <v>48</v>
      </c>
      <c r="H12" s="9" t="s">
        <v>47</v>
      </c>
    </row>
    <row r="13" customFormat="false" ht="15" hidden="false" customHeight="false" outlineLevel="0" collapsed="false">
      <c r="A13" s="3" t="s">
        <v>18</v>
      </c>
      <c r="B13" s="4" t="s">
        <v>19</v>
      </c>
      <c r="C13" s="4" t="n">
        <v>3</v>
      </c>
      <c r="D13" s="4" t="n">
        <v>2006</v>
      </c>
      <c r="E13" s="4" t="n">
        <v>2006</v>
      </c>
      <c r="F13" s="4" t="n">
        <v>89</v>
      </c>
      <c r="G13" s="4" t="s">
        <v>47</v>
      </c>
      <c r="H13" s="4" t="s">
        <v>47</v>
      </c>
    </row>
    <row r="14" customFormat="false" ht="15" hidden="false" customHeight="false" outlineLevel="0" collapsed="false">
      <c r="A14" s="3" t="s">
        <v>18</v>
      </c>
      <c r="B14" s="4" t="s">
        <v>19</v>
      </c>
      <c r="C14" s="4" t="n">
        <v>3</v>
      </c>
      <c r="D14" s="4" t="n">
        <v>2006</v>
      </c>
      <c r="E14" s="4" t="n">
        <v>2010</v>
      </c>
      <c r="F14" s="4" t="n">
        <v>60</v>
      </c>
      <c r="G14" s="4" t="s">
        <v>48</v>
      </c>
      <c r="H14" s="4" t="s">
        <v>47</v>
      </c>
    </row>
    <row r="15" customFormat="false" ht="15" hidden="false" customHeight="false" outlineLevel="0" collapsed="false">
      <c r="A15" s="3" t="s">
        <v>18</v>
      </c>
      <c r="B15" s="4" t="s">
        <v>19</v>
      </c>
      <c r="C15" s="4" t="n">
        <v>3</v>
      </c>
      <c r="D15" s="4" t="n">
        <v>2006</v>
      </c>
      <c r="E15" s="4" t="n">
        <v>2014</v>
      </c>
      <c r="F15" s="4" t="n">
        <v>80</v>
      </c>
      <c r="G15" s="4" t="s">
        <v>48</v>
      </c>
      <c r="H15" s="4" t="s">
        <v>47</v>
      </c>
    </row>
    <row r="16" customFormat="false" ht="15" hidden="false" customHeight="false" outlineLevel="0" collapsed="false">
      <c r="A16" s="3" t="s">
        <v>18</v>
      </c>
      <c r="B16" s="4" t="s">
        <v>19</v>
      </c>
      <c r="C16" s="4" t="n">
        <v>3</v>
      </c>
      <c r="D16" s="4" t="n">
        <v>2006</v>
      </c>
      <c r="E16" s="4" t="n">
        <v>2018</v>
      </c>
      <c r="F16" s="4" t="n">
        <v>88</v>
      </c>
      <c r="G16" s="4" t="s">
        <v>48</v>
      </c>
      <c r="H16" s="4" t="s">
        <v>47</v>
      </c>
    </row>
    <row r="17" customFormat="false" ht="15" hidden="false" customHeight="false" outlineLevel="0" collapsed="false">
      <c r="A17" s="3" t="s">
        <v>18</v>
      </c>
      <c r="B17" s="4" t="s">
        <v>19</v>
      </c>
      <c r="C17" s="4" t="n">
        <v>3</v>
      </c>
      <c r="D17" s="4" t="n">
        <v>2006</v>
      </c>
      <c r="E17" s="4" t="n">
        <v>2022</v>
      </c>
      <c r="F17" s="4" t="n">
        <v>105</v>
      </c>
      <c r="G17" s="4" t="s">
        <v>48</v>
      </c>
      <c r="H17" s="4" t="s">
        <v>47</v>
      </c>
    </row>
    <row r="18" customFormat="false" ht="15" hidden="false" customHeight="false" outlineLevel="0" collapsed="false">
      <c r="A18" s="8" t="s">
        <v>20</v>
      </c>
      <c r="B18" s="9" t="s">
        <v>21</v>
      </c>
      <c r="C18" s="9" t="n">
        <v>4</v>
      </c>
      <c r="D18" s="9" t="n">
        <v>2006</v>
      </c>
      <c r="E18" s="9" t="n">
        <v>2006</v>
      </c>
      <c r="F18" s="9" t="n">
        <v>33</v>
      </c>
      <c r="G18" s="9" t="s">
        <v>47</v>
      </c>
      <c r="H18" s="9" t="s">
        <v>47</v>
      </c>
    </row>
    <row r="19" customFormat="false" ht="15" hidden="false" customHeight="false" outlineLevel="0" collapsed="false">
      <c r="A19" s="8" t="s">
        <v>20</v>
      </c>
      <c r="B19" s="9" t="s">
        <v>21</v>
      </c>
      <c r="C19" s="9" t="n">
        <v>4</v>
      </c>
      <c r="D19" s="9" t="n">
        <v>2006</v>
      </c>
      <c r="E19" s="9" t="n">
        <v>2010</v>
      </c>
      <c r="F19" s="9" t="n">
        <v>65</v>
      </c>
      <c r="G19" s="9" t="s">
        <v>48</v>
      </c>
      <c r="H19" s="9" t="s">
        <v>47</v>
      </c>
    </row>
    <row r="20" customFormat="false" ht="15" hidden="false" customHeight="false" outlineLevel="0" collapsed="false">
      <c r="A20" s="8" t="s">
        <v>20</v>
      </c>
      <c r="B20" s="9" t="s">
        <v>21</v>
      </c>
      <c r="C20" s="9" t="n">
        <v>4</v>
      </c>
      <c r="D20" s="9" t="n">
        <v>2006</v>
      </c>
      <c r="E20" s="9" t="n">
        <v>2014</v>
      </c>
      <c r="F20" s="9" t="n">
        <v>43</v>
      </c>
      <c r="G20" s="9" t="s">
        <v>48</v>
      </c>
      <c r="H20" s="9" t="s">
        <v>47</v>
      </c>
    </row>
    <row r="21" customFormat="false" ht="15" hidden="false" customHeight="false" outlineLevel="0" collapsed="false">
      <c r="A21" s="8" t="s">
        <v>20</v>
      </c>
      <c r="B21" s="9" t="s">
        <v>21</v>
      </c>
      <c r="C21" s="9" t="n">
        <v>4</v>
      </c>
      <c r="D21" s="9" t="n">
        <v>2006</v>
      </c>
      <c r="E21" s="9" t="n">
        <v>2018</v>
      </c>
      <c r="F21" s="9" t="n">
        <v>61</v>
      </c>
      <c r="G21" s="9" t="s">
        <v>48</v>
      </c>
      <c r="H21" s="9" t="s">
        <v>47</v>
      </c>
    </row>
    <row r="22" customFormat="false" ht="15" hidden="false" customHeight="false" outlineLevel="0" collapsed="false">
      <c r="A22" s="8" t="s">
        <v>20</v>
      </c>
      <c r="B22" s="9" t="s">
        <v>21</v>
      </c>
      <c r="C22" s="9" t="n">
        <v>4</v>
      </c>
      <c r="D22" s="9" t="n">
        <v>2006</v>
      </c>
      <c r="E22" s="9" t="n">
        <v>2022</v>
      </c>
      <c r="F22" s="9" t="n">
        <v>77</v>
      </c>
      <c r="G22" s="9" t="s">
        <v>48</v>
      </c>
      <c r="H22" s="9" t="s">
        <v>47</v>
      </c>
    </row>
    <row r="23" customFormat="false" ht="15" hidden="false" customHeight="false" outlineLevel="0" collapsed="false">
      <c r="A23" s="3" t="s">
        <v>23</v>
      </c>
      <c r="B23" s="4" t="s">
        <v>24</v>
      </c>
      <c r="C23" s="4" t="n">
        <v>6</v>
      </c>
      <c r="D23" s="4" t="n">
        <v>2006</v>
      </c>
      <c r="E23" s="4" t="n">
        <v>2006</v>
      </c>
      <c r="F23" s="4" t="n">
        <v>32</v>
      </c>
      <c r="G23" s="4" t="s">
        <v>47</v>
      </c>
      <c r="H23" s="4" t="s">
        <v>47</v>
      </c>
    </row>
    <row r="24" customFormat="false" ht="15" hidden="false" customHeight="false" outlineLevel="0" collapsed="false">
      <c r="A24" s="3" t="s">
        <v>23</v>
      </c>
      <c r="B24" s="4" t="s">
        <v>24</v>
      </c>
      <c r="C24" s="4" t="n">
        <v>6</v>
      </c>
      <c r="D24" s="4" t="n">
        <v>2006</v>
      </c>
      <c r="E24" s="4" t="n">
        <v>2010</v>
      </c>
      <c r="F24" s="4" t="n">
        <v>31</v>
      </c>
      <c r="G24" s="4" t="s">
        <v>48</v>
      </c>
      <c r="H24" s="4" t="s">
        <v>47</v>
      </c>
    </row>
    <row r="25" customFormat="false" ht="15" hidden="false" customHeight="false" outlineLevel="0" collapsed="false">
      <c r="A25" s="3" t="s">
        <v>23</v>
      </c>
      <c r="B25" s="4" t="s">
        <v>24</v>
      </c>
      <c r="C25" s="4" t="n">
        <v>6</v>
      </c>
      <c r="D25" s="4" t="n">
        <v>2006</v>
      </c>
      <c r="E25" s="4" t="n">
        <v>2014</v>
      </c>
      <c r="F25" s="4" t="n">
        <v>37</v>
      </c>
      <c r="G25" s="4" t="s">
        <v>48</v>
      </c>
      <c r="H25" s="4" t="s">
        <v>47</v>
      </c>
    </row>
    <row r="26" customFormat="false" ht="15" hidden="false" customHeight="false" outlineLevel="0" collapsed="false">
      <c r="A26" s="3" t="s">
        <v>23</v>
      </c>
      <c r="B26" s="4" t="s">
        <v>24</v>
      </c>
      <c r="C26" s="4" t="n">
        <v>6</v>
      </c>
      <c r="D26" s="4" t="n">
        <v>2006</v>
      </c>
      <c r="E26" s="4" t="n">
        <v>2018</v>
      </c>
      <c r="F26" s="4" t="n">
        <v>53</v>
      </c>
      <c r="G26" s="4" t="s">
        <v>48</v>
      </c>
      <c r="H26" s="4" t="s">
        <v>47</v>
      </c>
    </row>
    <row r="27" customFormat="false" ht="15" hidden="false" customHeight="false" outlineLevel="0" collapsed="false">
      <c r="A27" s="3" t="s">
        <v>23</v>
      </c>
      <c r="B27" s="4" t="s">
        <v>24</v>
      </c>
      <c r="C27" s="4" t="n">
        <v>6</v>
      </c>
      <c r="D27" s="4" t="n">
        <v>2006</v>
      </c>
      <c r="E27" s="4" t="n">
        <v>2022</v>
      </c>
      <c r="F27" s="4" t="n">
        <v>57</v>
      </c>
      <c r="G27" s="4" t="s">
        <v>48</v>
      </c>
      <c r="H27" s="4" t="s">
        <v>47</v>
      </c>
    </row>
    <row r="28" customFormat="false" ht="15" hidden="false" customHeight="false" outlineLevel="0" collapsed="false">
      <c r="A28" s="17" t="s">
        <v>26</v>
      </c>
      <c r="B28" s="13" t="s">
        <v>27</v>
      </c>
      <c r="C28" s="13" t="n">
        <v>7</v>
      </c>
      <c r="D28" s="13" t="n">
        <v>2010</v>
      </c>
      <c r="E28" s="13" t="n">
        <v>2006</v>
      </c>
      <c r="F28" s="13"/>
      <c r="G28" s="13" t="s">
        <v>48</v>
      </c>
      <c r="H28" s="13" t="s">
        <v>48</v>
      </c>
    </row>
    <row r="29" customFormat="false" ht="15" hidden="false" customHeight="false" outlineLevel="0" collapsed="false">
      <c r="A29" s="8" t="s">
        <v>26</v>
      </c>
      <c r="B29" s="9" t="s">
        <v>27</v>
      </c>
      <c r="C29" s="9" t="n">
        <v>7</v>
      </c>
      <c r="D29" s="9" t="n">
        <v>2010</v>
      </c>
      <c r="E29" s="9" t="n">
        <v>2010</v>
      </c>
      <c r="F29" s="9" t="n">
        <v>106</v>
      </c>
      <c r="G29" s="9" t="s">
        <v>47</v>
      </c>
      <c r="H29" s="9" t="s">
        <v>47</v>
      </c>
    </row>
    <row r="30" customFormat="false" ht="15" hidden="false" customHeight="false" outlineLevel="0" collapsed="false">
      <c r="A30" s="8" t="s">
        <v>26</v>
      </c>
      <c r="B30" s="9" t="s">
        <v>27</v>
      </c>
      <c r="C30" s="9" t="n">
        <v>7</v>
      </c>
      <c r="D30" s="9" t="n">
        <v>2010</v>
      </c>
      <c r="E30" s="9" t="n">
        <v>2014</v>
      </c>
      <c r="F30" s="9" t="n">
        <v>103</v>
      </c>
      <c r="G30" s="9" t="s">
        <v>48</v>
      </c>
      <c r="H30" s="9" t="s">
        <v>47</v>
      </c>
    </row>
    <row r="31" customFormat="false" ht="15" hidden="false" customHeight="false" outlineLevel="0" collapsed="false">
      <c r="A31" s="8" t="s">
        <v>26</v>
      </c>
      <c r="B31" s="9" t="s">
        <v>27</v>
      </c>
      <c r="C31" s="9" t="n">
        <v>7</v>
      </c>
      <c r="D31" s="9" t="n">
        <v>2010</v>
      </c>
      <c r="E31" s="9" t="n">
        <v>2018</v>
      </c>
      <c r="F31" s="9" t="n">
        <v>104</v>
      </c>
      <c r="G31" s="9" t="s">
        <v>48</v>
      </c>
      <c r="H31" s="9" t="s">
        <v>47</v>
      </c>
    </row>
    <row r="32" customFormat="false" ht="15" hidden="false" customHeight="false" outlineLevel="0" collapsed="false">
      <c r="A32" s="8" t="s">
        <v>26</v>
      </c>
      <c r="B32" s="9" t="s">
        <v>27</v>
      </c>
      <c r="C32" s="9" t="n">
        <v>7</v>
      </c>
      <c r="D32" s="9" t="n">
        <v>2010</v>
      </c>
      <c r="E32" s="9" t="n">
        <v>2022</v>
      </c>
      <c r="F32" s="9" t="n">
        <v>104</v>
      </c>
      <c r="G32" s="9" t="s">
        <v>48</v>
      </c>
      <c r="H32" s="9" t="s">
        <v>47</v>
      </c>
    </row>
    <row r="33" customFormat="false" ht="15" hidden="false" customHeight="false" outlineLevel="0" collapsed="false">
      <c r="A33" s="3" t="s">
        <v>29</v>
      </c>
      <c r="B33" s="4" t="s">
        <v>30</v>
      </c>
      <c r="C33" s="4" t="n">
        <v>8</v>
      </c>
      <c r="D33" s="4" t="n">
        <v>2006</v>
      </c>
      <c r="E33" s="4" t="n">
        <v>2006</v>
      </c>
      <c r="F33" s="4" t="n">
        <v>164</v>
      </c>
      <c r="G33" s="4" t="s">
        <v>47</v>
      </c>
      <c r="H33" s="4" t="s">
        <v>47</v>
      </c>
    </row>
    <row r="34" customFormat="false" ht="15" hidden="false" customHeight="false" outlineLevel="0" collapsed="false">
      <c r="A34" s="3" t="s">
        <v>29</v>
      </c>
      <c r="B34" s="4" t="s">
        <v>30</v>
      </c>
      <c r="C34" s="4" t="n">
        <v>8</v>
      </c>
      <c r="D34" s="4" t="n">
        <v>2006</v>
      </c>
      <c r="E34" s="4" t="n">
        <v>2010</v>
      </c>
      <c r="F34" s="4" t="n">
        <v>214</v>
      </c>
      <c r="G34" s="4" t="s">
        <v>48</v>
      </c>
      <c r="H34" s="4" t="s">
        <v>47</v>
      </c>
    </row>
    <row r="35" customFormat="false" ht="15" hidden="false" customHeight="false" outlineLevel="0" collapsed="false">
      <c r="A35" s="3" t="s">
        <v>29</v>
      </c>
      <c r="B35" s="4" t="s">
        <v>30</v>
      </c>
      <c r="C35" s="4" t="n">
        <v>8</v>
      </c>
      <c r="D35" s="4" t="n">
        <v>2006</v>
      </c>
      <c r="E35" s="4" t="n">
        <v>2014</v>
      </c>
      <c r="F35" s="4" t="n">
        <v>215</v>
      </c>
      <c r="G35" s="4" t="s">
        <v>48</v>
      </c>
      <c r="H35" s="4" t="s">
        <v>47</v>
      </c>
    </row>
    <row r="36" customFormat="false" ht="15" hidden="false" customHeight="false" outlineLevel="0" collapsed="false">
      <c r="A36" s="3" t="s">
        <v>29</v>
      </c>
      <c r="B36" s="4" t="s">
        <v>30</v>
      </c>
      <c r="C36" s="4" t="n">
        <v>8</v>
      </c>
      <c r="D36" s="4" t="n">
        <v>2006</v>
      </c>
      <c r="E36" s="4" t="n">
        <v>2018</v>
      </c>
      <c r="F36" s="4" t="n">
        <v>231</v>
      </c>
      <c r="G36" s="4" t="s">
        <v>48</v>
      </c>
      <c r="H36" s="4" t="s">
        <v>47</v>
      </c>
    </row>
    <row r="37" customFormat="false" ht="15" hidden="false" customHeight="false" outlineLevel="0" collapsed="false">
      <c r="A37" s="3" t="s">
        <v>29</v>
      </c>
      <c r="B37" s="4" t="s">
        <v>30</v>
      </c>
      <c r="C37" s="4" t="n">
        <v>8</v>
      </c>
      <c r="D37" s="4" t="n">
        <v>2006</v>
      </c>
      <c r="E37" s="4" t="n">
        <v>2022</v>
      </c>
      <c r="F37" s="4" t="n">
        <v>260</v>
      </c>
      <c r="G37" s="4" t="s">
        <v>48</v>
      </c>
      <c r="H37" s="4" t="s">
        <v>47</v>
      </c>
    </row>
    <row r="40" customFormat="false" ht="15" hidden="false" customHeight="false" outlineLevel="0" collapsed="false">
      <c r="A40" s="14" t="s">
        <v>49</v>
      </c>
    </row>
    <row r="41" customFormat="false" ht="15" hidden="false" customHeight="false" outlineLevel="0" collapsed="false">
      <c r="A41" s="16" t="s">
        <v>50</v>
      </c>
      <c r="B41" s="16"/>
      <c r="C41" s="16"/>
      <c r="D41" s="16"/>
      <c r="E41" s="16"/>
      <c r="F41" s="16"/>
      <c r="G41" s="16"/>
      <c r="H41" s="16"/>
    </row>
    <row r="42" customFormat="false" ht="15" hidden="false" customHeight="false" outlineLevel="0" collapsed="false">
      <c r="A42" s="16" t="s">
        <v>51</v>
      </c>
      <c r="B42" s="16"/>
      <c r="C42" s="16"/>
      <c r="D42" s="16"/>
      <c r="E42" s="16"/>
      <c r="F42" s="16"/>
      <c r="G42" s="16"/>
      <c r="H42" s="16"/>
    </row>
    <row r="43" customFormat="false" ht="15" hidden="false" customHeight="false" outlineLevel="0" collapsed="false">
      <c r="A43" s="16" t="s">
        <v>52</v>
      </c>
      <c r="B43" s="16"/>
      <c r="C43" s="16"/>
      <c r="D43" s="16"/>
      <c r="E43" s="16"/>
      <c r="F43" s="16"/>
      <c r="G43" s="16"/>
      <c r="H43" s="16"/>
    </row>
    <row r="44" customFormat="false" ht="15" hidden="false" customHeight="false" outlineLevel="0" collapsed="false">
      <c r="A44" s="16" t="s">
        <v>53</v>
      </c>
      <c r="B44" s="16"/>
      <c r="C44" s="16"/>
      <c r="D44" s="16"/>
      <c r="E44" s="16"/>
      <c r="F44" s="16"/>
      <c r="G44" s="16"/>
      <c r="H44" s="16"/>
    </row>
    <row r="45" customFormat="false" ht="15" hidden="false" customHeight="false" outlineLevel="0" collapsed="false">
      <c r="A45" s="16" t="s">
        <v>54</v>
      </c>
      <c r="B45" s="16"/>
      <c r="C45" s="16"/>
      <c r="D45" s="16"/>
      <c r="E45" s="16"/>
      <c r="F45" s="16"/>
      <c r="G45" s="16"/>
      <c r="H45" s="16"/>
    </row>
  </sheetData>
  <mergeCells count="6">
    <mergeCell ref="A1:H1"/>
    <mergeCell ref="A41:H41"/>
    <mergeCell ref="A42:H42"/>
    <mergeCell ref="A43:H43"/>
    <mergeCell ref="A44:H44"/>
    <mergeCell ref="A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6"/>
  </cols>
  <sheetData>
    <row r="1" customFormat="false" ht="27.7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56</v>
      </c>
      <c r="E2" s="2" t="s">
        <v>57</v>
      </c>
      <c r="F2" s="2" t="s">
        <v>58</v>
      </c>
      <c r="G2" s="2" t="s">
        <v>10</v>
      </c>
      <c r="H2" s="2" t="s">
        <v>11</v>
      </c>
      <c r="I2" s="2" t="s">
        <v>12</v>
      </c>
      <c r="J2" s="2" t="s">
        <v>59</v>
      </c>
    </row>
    <row r="3" customFormat="false" ht="15" hidden="false" customHeight="false" outlineLevel="0" collapsed="false">
      <c r="A3" s="3" t="str">
        <f aca="false">Wide_Format!A3</f>
        <v>Bandipur National Park</v>
      </c>
      <c r="B3" s="4" t="str">
        <f aca="false">Wide_Format!B3</f>
        <v>Karnataka</v>
      </c>
      <c r="C3" s="4" t="n">
        <f aca="false">Wide_Format!C3</f>
        <v>1</v>
      </c>
      <c r="D3" s="4" t="n">
        <f aca="false">Wide_Format!D3</f>
        <v>2006</v>
      </c>
      <c r="E3" s="4" t="n">
        <v>68</v>
      </c>
      <c r="F3" s="4" t="n">
        <v>150</v>
      </c>
      <c r="G3" s="4" t="n">
        <f aca="false">Wide_Format!J3</f>
        <v>82</v>
      </c>
      <c r="H3" s="5" t="n">
        <f aca="false">Wide_Format!K3</f>
        <v>120.588235294118</v>
      </c>
      <c r="I3" s="6" t="n">
        <f aca="false">Wide_Format!L3</f>
        <v>5.06883011457091</v>
      </c>
      <c r="J3" s="4" t="n">
        <f aca="false">IF(B3="Assam","*",RANK(H3,H3:H9,0))</f>
        <v>2</v>
      </c>
    </row>
    <row r="4" customFormat="false" ht="15" hidden="false" customHeight="false" outlineLevel="0" collapsed="false">
      <c r="A4" s="8" t="str">
        <f aca="false">Wide_Format!A4</f>
        <v>Nagarahole National Park</v>
      </c>
      <c r="B4" s="9" t="str">
        <f aca="false">Wide_Format!B4</f>
        <v>Karnataka</v>
      </c>
      <c r="C4" s="9" t="n">
        <f aca="false">Wide_Format!C4</f>
        <v>2</v>
      </c>
      <c r="D4" s="9" t="n">
        <f aca="false">Wide_Format!D4</f>
        <v>2006</v>
      </c>
      <c r="E4" s="9" t="n">
        <v>78</v>
      </c>
      <c r="F4" s="9" t="n">
        <v>141</v>
      </c>
      <c r="G4" s="9" t="n">
        <f aca="false">Wide_Format!J4</f>
        <v>63</v>
      </c>
      <c r="H4" s="10" t="n">
        <f aca="false">Wide_Format!K4</f>
        <v>80.7692307692308</v>
      </c>
      <c r="I4" s="11" t="n">
        <f aca="false">Wide_Format!L4</f>
        <v>3.76963326205202</v>
      </c>
      <c r="J4" s="9" t="n">
        <f aca="false">IF(B4="Assam","*",RANK(H4,H3:H9,0))</f>
        <v>3</v>
      </c>
    </row>
    <row r="5" customFormat="false" ht="15" hidden="false" customHeight="false" outlineLevel="0" collapsed="false">
      <c r="A5" s="3" t="str">
        <f aca="false">Wide_Format!A5</f>
        <v>Kanha National Park</v>
      </c>
      <c r="B5" s="4" t="str">
        <f aca="false">Wide_Format!B5</f>
        <v>Madhya Pradesh</v>
      </c>
      <c r="C5" s="4" t="n">
        <f aca="false">Wide_Format!C5</f>
        <v>3</v>
      </c>
      <c r="D5" s="4" t="n">
        <f aca="false">Wide_Format!D5</f>
        <v>2006</v>
      </c>
      <c r="E5" s="4" t="n">
        <v>89</v>
      </c>
      <c r="F5" s="4" t="n">
        <v>105</v>
      </c>
      <c r="G5" s="4" t="n">
        <f aca="false">Wide_Format!J5</f>
        <v>16</v>
      </c>
      <c r="H5" s="5" t="n">
        <f aca="false">Wide_Format!K5</f>
        <v>17.9775280898876</v>
      </c>
      <c r="I5" s="6" t="n">
        <f aca="false">Wide_Format!L5</f>
        <v>1.0386315965019</v>
      </c>
      <c r="J5" s="4" t="n">
        <f aca="false">IF(B5="Assam","*",RANK(H5,H3:H9,0))</f>
        <v>6</v>
      </c>
    </row>
    <row r="6" customFormat="false" ht="15" hidden="false" customHeight="false" outlineLevel="0" collapsed="false">
      <c r="A6" s="8" t="str">
        <f aca="false">Wide_Format!A6</f>
        <v>Pench Tiger Reserve (Combined)</v>
      </c>
      <c r="B6" s="9" t="str">
        <f aca="false">Wide_Format!B6</f>
        <v>MP / Maharashtra</v>
      </c>
      <c r="C6" s="9" t="n">
        <f aca="false">Wide_Format!C6</f>
        <v>4</v>
      </c>
      <c r="D6" s="9" t="n">
        <f aca="false">Wide_Format!D6</f>
        <v>2006</v>
      </c>
      <c r="E6" s="9" t="n">
        <v>33</v>
      </c>
      <c r="F6" s="9" t="n">
        <v>77</v>
      </c>
      <c r="G6" s="9" t="n">
        <f aca="false">Wide_Format!J6</f>
        <v>44</v>
      </c>
      <c r="H6" s="10" t="n">
        <f aca="false">Wide_Format!K6</f>
        <v>133.333333333333</v>
      </c>
      <c r="I6" s="11" t="n">
        <f aca="false">Wide_Format!L6</f>
        <v>5.438337383322</v>
      </c>
      <c r="J6" s="9" t="n">
        <f aca="false">IF(B6="Assam","*",RANK(H6,H3:H9,0))</f>
        <v>1</v>
      </c>
    </row>
    <row r="7" customFormat="false" ht="15" hidden="false" customHeight="false" outlineLevel="0" collapsed="false">
      <c r="A7" s="3" t="str">
        <f aca="false">Wide_Format!A7</f>
        <v>Ranthambore Tiger Reserve</v>
      </c>
      <c r="B7" s="4" t="str">
        <f aca="false">Wide_Format!B7</f>
        <v>Rajasthan</v>
      </c>
      <c r="C7" s="4" t="n">
        <f aca="false">Wide_Format!C7</f>
        <v>6</v>
      </c>
      <c r="D7" s="4" t="n">
        <f aca="false">Wide_Format!D7</f>
        <v>2006</v>
      </c>
      <c r="E7" s="4" t="n">
        <v>32</v>
      </c>
      <c r="F7" s="4" t="n">
        <v>57</v>
      </c>
      <c r="G7" s="4" t="n">
        <f aca="false">Wide_Format!J7</f>
        <v>25</v>
      </c>
      <c r="H7" s="5" t="n">
        <f aca="false">Wide_Format!K7</f>
        <v>78.125</v>
      </c>
      <c r="I7" s="6" t="n">
        <f aca="false">Wide_Format!L7</f>
        <v>3.67410737975089</v>
      </c>
      <c r="J7" s="4" t="n">
        <f aca="false">IF(B7="Assam","*",RANK(H7,H3:H9,0))</f>
        <v>4</v>
      </c>
    </row>
    <row r="8" customFormat="false" ht="15" hidden="false" customHeight="false" outlineLevel="0" collapsed="false">
      <c r="A8" s="8" t="str">
        <f aca="false">Wide_Format!A8</f>
        <v>Kaziranga National Park</v>
      </c>
      <c r="B8" s="9" t="str">
        <f aca="false">Wide_Format!B8</f>
        <v>Assam</v>
      </c>
      <c r="C8" s="9" t="n">
        <f aca="false">Wide_Format!C8</f>
        <v>7</v>
      </c>
      <c r="D8" s="9" t="n">
        <f aca="false">Wide_Format!D8</f>
        <v>2010</v>
      </c>
      <c r="E8" s="9" t="n">
        <v>106</v>
      </c>
      <c r="F8" s="9" t="n">
        <v>104</v>
      </c>
      <c r="G8" s="9" t="n">
        <f aca="false">Wide_Format!J8</f>
        <v>-2</v>
      </c>
      <c r="H8" s="10" t="n">
        <f aca="false">Wide_Format!K8</f>
        <v>-1.88679245283019</v>
      </c>
      <c r="I8" s="11" t="n">
        <f aca="false">Wide_Format!L8</f>
        <v>-0.15860904078826</v>
      </c>
      <c r="J8" s="9" t="str">
        <f aca="false">IF(B8="Assam","*",RANK(H8,H3:H9,0))</f>
        <v>*</v>
      </c>
    </row>
    <row r="9" customFormat="false" ht="15" hidden="false" customHeight="false" outlineLevel="0" collapsed="false">
      <c r="A9" s="3" t="str">
        <f aca="false">Wide_Format!A9</f>
        <v>Jim Corbett National Park</v>
      </c>
      <c r="B9" s="4" t="str">
        <f aca="false">Wide_Format!B9</f>
        <v>Uttarakhand</v>
      </c>
      <c r="C9" s="4" t="n">
        <f aca="false">Wide_Format!C9</f>
        <v>8</v>
      </c>
      <c r="D9" s="4" t="n">
        <f aca="false">Wide_Format!D9</f>
        <v>2006</v>
      </c>
      <c r="E9" s="4" t="n">
        <v>164</v>
      </c>
      <c r="F9" s="4" t="n">
        <v>260</v>
      </c>
      <c r="G9" s="4" t="n">
        <f aca="false">Wide_Format!J9</f>
        <v>96</v>
      </c>
      <c r="H9" s="5" t="n">
        <f aca="false">Wide_Format!K9</f>
        <v>58.5365853658537</v>
      </c>
      <c r="I9" s="6" t="n">
        <f aca="false">Wide_Format!L9</f>
        <v>2.92197081068994</v>
      </c>
      <c r="J9" s="4" t="n">
        <f aca="false">IF(B9="Assam","*",RANK(H9,H3:H9,0))</f>
        <v>5</v>
      </c>
    </row>
    <row r="12" customFormat="false" ht="15" hidden="false" customHeight="false" outlineLevel="0" collapsed="false">
      <c r="A12" s="16" t="s">
        <v>60</v>
      </c>
      <c r="B12" s="16"/>
      <c r="C12" s="16"/>
      <c r="D12" s="16"/>
      <c r="E12" s="16"/>
      <c r="F12" s="16"/>
      <c r="G12" s="16"/>
      <c r="H12" s="16"/>
      <c r="I12" s="16"/>
      <c r="J12" s="16"/>
    </row>
  </sheetData>
  <mergeCells count="2">
    <mergeCell ref="A1:G1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2026-02-13T16:32:13Z</dcterms:created>
  <dc:creator>openpyxl</dc:creator>
  <dc:description/>
  <dc:language>en-US</dc:language>
  <cp:lastModifiedBy/>
  <dcterms:modified xsi:type="dcterms:W3CDTF">2026-02-13T16:32:13Z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